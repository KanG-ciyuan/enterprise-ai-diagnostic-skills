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59748b1c1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点总览" sheetId="1" r:id="R7a8124dee67d4d21"/>
    <x:sheet xmlns:r="http://schemas.openxmlformats.org/officeDocument/2006/relationships" name="逐行预检" sheetId="2" r:id="R7a95018b6e124ec3"/>
    <x:sheet xmlns:r="http://schemas.openxmlformats.org/officeDocument/2006/relationships" name="人工确认队列" sheetId="3" r:id="R13fe027f62404f98"/>
    <x:sheet xmlns:r="http://schemas.openxmlformats.org/officeDocument/2006/relationships" name="影子执行清单" sheetId="4" r:id="R120ccb15b20e4b08"/>
    <x:sheet xmlns:r="http://schemas.openxmlformats.org/officeDocument/2006/relationships" name="逐行回执" sheetId="5" r:id="R5e98ec06359b4392"/>
    <x:sheet xmlns:r="http://schemas.openxmlformats.org/officeDocument/2006/relationships" name="回滚草稿" sheetId="6" r:id="Rd8de723cc8384709"/>
    <x:sheet xmlns:r="http://schemas.openxmlformats.org/officeDocument/2006/relationships" name="审计与规则" sheetId="7" r:id="R855132ad2fb0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4F00"/>
      <x:name val="Carlito"/>
    </x:font>
    <x:font>
      <x:b/>
      <x:sz val="10"/>
      <x:color rgb="FFFFFFFF"/>
      <x:name val="Carlito"/>
    </x:font>
    <x:font>
      <x:sz val="10"/>
      <x:color rgb="FF243133"/>
      <x:name val="Carlito"/>
    </x:font>
    <x:font>
      <x:b/>
      <x:sz val="11"/>
      <x:color rgb="FFFFFFFF"/>
      <x:name val="Carlito"/>
    </x:font>
    <x:font>
      <x:b/>
      <x:sz val="10"/>
      <x:color rgb="FF4A3A2A"/>
      <x:name val="Carlito"/>
    </x:font>
    <x:font>
      <x:b/>
      <x:sz val="10"/>
      <x:color rgb="FF8B25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A37"/>
      </x:patternFill>
    </x:fill>
    <x:fill>
      <x:patternFill patternType="solid">
        <x:fgColor rgb="FFFFF4D6"/>
      </x:patternFill>
    </x:fill>
    <x:fill>
      <x:patternFill patternType="solid">
        <x:fgColor rgb="FF2F6F68"/>
      </x:patternFill>
    </x:fill>
    <x:fill>
      <x:patternFill patternType="solid">
        <x:fgColor rgb="FF7A4F2B"/>
      </x:patternFill>
    </x:fill>
    <x:fill>
      <x:patternFill patternType="solid">
        <x:fgColor rgb="FFFBE1E1"/>
      </x:patternFill>
    </x:fill>
  </x:fills>
  <x:borders count="6">
    <x:border/>
    <x:border>
      <x:left style="thin">
        <x:color rgb="FF245A55"/>
      </x:left>
      <x:top style="thin">
        <x:color rgb="FF245A55"/>
      </x:top>
      <x:bottom style="thin">
        <x:color rgb="FF245A55"/>
      </x:bottom>
    </x:border>
    <x:border>
      <x:right style="thin">
        <x:color rgb="FF245A55"/>
      </x:right>
      <x:top style="thin">
        <x:color rgb="FF245A55"/>
      </x:top>
      <x:bottom style="thin">
        <x:color rgb="FF245A55"/>
      </x:bottom>
    </x:border>
    <x:border>
      <x:bottom style="thin">
        <x:color rgb="FFDDE5E4"/>
      </x:bottom>
    </x:border>
    <x:border>
      <x:top style="thin">
        <x:color rgb="FFDDE5E4"/>
      </x:top>
      <x:bottom style="thin">
        <x:color rgb="FFDDE5E4"/>
      </x:bottom>
    </x:border>
    <x:border>
      <x:top style="thin">
        <x:color rgb="FF245A55"/>
      </x:top>
      <x:bottom style="thin">
        <x:color rgb="FF245A5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horizontal="center" vertical="top" wrapText="1"/>
    </x:xf>
    <x:xf numFmtId="0" fontId="7" fillId="6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3">
    <x:dxf>
      <x:font>
        <x:b/>
        <x:color rgb="FF17613A"/>
      </x:font>
      <x:fill>
        <x:patternFill patternType="solid">
          <x:bgColor rgb="FFDDF3E4"/>
        </x:patternFill>
      </x:fill>
    </x:dxf>
    <x:dxf>
      <x:font>
        <x:b/>
        <x:color rgb="FF7A5600"/>
      </x:font>
      <x:fill>
        <x:patternFill patternType="solid">
          <x:bgColor rgb="FFFFF0C2"/>
        </x:patternFill>
      </x:fill>
    </x:dxf>
    <x:dxf>
      <x:font>
        <x:b/>
        <x:color rgb="FF8B2525"/>
      </x:font>
      <x:fill>
        <x:patternFill patternType="solid">
          <x:bgColor rgb="FFFBE1E1"/>
        </x:patternFill>
      </x:fill>
    </x:dxf>
    <x:dxf>
      <x:font>
        <x:b/>
        <x:color rgb="FF343A40"/>
      </x:font>
      <x:fill>
        <x:patternFill patternType="solid">
          <x:bgColor rgb="FFE6E7EA"/>
        </x:patternFill>
      </x:fill>
    </x:dxf>
    <x:dxf>
      <x:font>
        <x:b/>
        <x:color rgb="FF8B2525"/>
      </x:font>
      <x:fill>
        <x:patternFill patternType="solid">
          <x:bgColor rgb="FFFBE1E1"/>
        </x:patternFill>
      </x:fill>
    </x:dxf>
    <x:dxf>
      <x:font>
        <x:b/>
        <x:color rgb="FF17613A"/>
      </x:font>
      <x:fill>
        <x:patternFill patternType="solid">
          <x:bgColor rgb="FFDDF3E4"/>
        </x:patternFill>
      </x:fill>
    </x:dxf>
    <x:dxf>
      <x:font>
        <x:b/>
        <x:color rgb="FF7A5600"/>
      </x:font>
      <x:fill>
        <x:patternFill patternType="solid">
          <x:bgColor rgb="FFFFF0C2"/>
        </x:patternFill>
      </x:fill>
    </x:dxf>
    <x:dxf>
      <x:font>
        <x:b/>
        <x:color rgb="FF8B2525"/>
      </x:font>
      <x:fill>
        <x:patternFill patternType="solid">
          <x:bgColor rgb="FFFBE1E1"/>
        </x:patternFill>
      </x:fill>
    </x:dxf>
    <x:dxf>
      <x:font>
        <x:b/>
        <x:color rgb="FF343A40"/>
      </x:font>
      <x:fill>
        <x:patternFill patternType="solid">
          <x:bgColor rgb="FFE6E7EA"/>
        </x:patternFill>
      </x:fill>
    </x:dxf>
    <x:dxf>
      <x:font>
        <x:b/>
        <x:color rgb="FF17613A"/>
      </x:font>
      <x:fill>
        <x:patternFill patternType="solid">
          <x:bgColor rgb="FFDDF3E4"/>
        </x:patternFill>
      </x:fill>
    </x:dxf>
    <x:dxf>
      <x:font>
        <x:b/>
        <x:color rgb="FF7A5600"/>
      </x:font>
      <x:fill>
        <x:patternFill patternType="solid">
          <x:bgColor rgb="FFFFF0C2"/>
        </x:patternFill>
      </x:fill>
    </x:dxf>
    <x:dxf>
      <x:font>
        <x:b/>
        <x:color rgb="FF8B2525"/>
      </x:font>
      <x:fill>
        <x:patternFill patternType="solid">
          <x:bgColor rgb="FFFBE1E1"/>
        </x:patternFill>
      </x:fill>
    </x:dxf>
    <x:dxf>
      <x:font>
        <x:b/>
        <x:color rgb="FF343A40"/>
      </x:font>
      <x:fill>
        <x:patternFill patternType="solid">
          <x:bgColor rgb="FFE6E7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2f4449b854543" /><Relationship Type="http://schemas.openxmlformats.org/officeDocument/2006/relationships/theme" Target="/xl/theme/theme1.xml" Id="Rf7a29a761bd046b9" /><Relationship Type="http://schemas.openxmlformats.org/officeDocument/2006/relationships/sharedStrings" Target="/xl/sharedStrings.xml" Id="Rf301fea835044f29" /><Relationship Type="http://schemas.openxmlformats.org/officeDocument/2006/relationships/worksheet" Target="/xl/worksheets/sheet1.xml" Id="R7a8124dee67d4d21" /><Relationship Type="http://schemas.openxmlformats.org/officeDocument/2006/relationships/worksheet" Target="/xl/worksheets/sheet2.xml" Id="R7a95018b6e124ec3" /><Relationship Type="http://schemas.openxmlformats.org/officeDocument/2006/relationships/worksheet" Target="/xl/worksheets/sheet3.xml" Id="R13fe027f62404f98" /><Relationship Type="http://schemas.openxmlformats.org/officeDocument/2006/relationships/worksheet" Target="/xl/worksheets/sheet4.xml" Id="R120ccb15b20e4b08" /><Relationship Type="http://schemas.openxmlformats.org/officeDocument/2006/relationships/worksheet" Target="/xl/worksheets/sheet5.xml" Id="R5e98ec06359b4392" /><Relationship Type="http://schemas.openxmlformats.org/officeDocument/2006/relationships/worksheet" Target="/xl/worksheets/sheet6.xml" Id="Rd8de723cc8384709" /><Relationship Type="http://schemas.openxmlformats.org/officeDocument/2006/relationships/worksheet" Target="/xl/worksheets/sheet7.xml" Id="R855132ad2fb0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24" hidden="0" customWidth="1"/>
    <x:col min="5" max="5" width="15" hidden="0" customWidth="1"/>
    <x:col min="6" max="6" width="26" hidden="0" customWidth="1"/>
    <x:col min="7" max="7" width="12" hidden="0" customWidth="1"/>
    <x:col min="8" max="8" width="12" hidden="0" customWidth="1"/>
  </x:cols>
  <x:sheetData>
    <x:row r="1" ht="19.200000762939453" hidden="0" customHeight="1">
      <x:c r="A1" s="4" t="str">
        <x:v>CRM客户授权交接：5天离线影子试点</x:v>
      </x:c>
      <x:c r="B1" s="4" t="str">
        <x:v>CRM客户授权交接：5天离线影子试点</x:v>
      </x:c>
      <x:c r="C1" s="4" t="str">
        <x:v>CRM客户授权交接：5天离线影子试点</x:v>
      </x:c>
      <x:c r="D1" s="4" t="str">
        <x:v>CRM客户授权交接：5天离线影子试点</x:v>
      </x:c>
      <x:c r="E1" s="4" t="str">
        <x:v>CRM客户授权交接：5天离线影子试点</x:v>
      </x:c>
      <x:c r="F1" s="4" t="str">
        <x:v>CRM客户授权交接：5天离线影子试点</x:v>
      </x:c>
      <x:c r="G1" s="4" t="str">
        <x:v>CRM客户授权交接：5天离线影子试点</x:v>
      </x:c>
      <x:c r="H1" s="4" t="str">
        <x:v>CRM客户授权交接：5天离线影子试点</x:v>
      </x:c>
    </x:row>
    <x:row r="2" ht="15" hidden="0" customHeight="1">
      <x:c r="A2" s="8" t="str">
        <x:v>E5 AI模拟，待真实企业验证。只读合成文件，不连接、不读取、不写入生产OA/CRM。</x:v>
      </x:c>
      <x:c r="B2" s="8"/>
      <x:c r="C2" s="8"/>
      <x:c r="D2" s="8"/>
      <x:c r="E2" s="8"/>
      <x:c r="F2" s="8"/>
      <x:c r="G2" s="8"/>
      <x:c r="H2" s="8"/>
    </x:row>
    <x:row r="3"/>
    <x:row r="4" ht="15" hidden="0" customHeight="1">
      <x:c r="A4" s="17" t="str">
        <x:v>指标</x:v>
      </x:c>
      <x:c r="B4" s="18" t="str">
        <x:v>结果</x:v>
      </x:c>
      <x:c r="D4" s="27" t="str">
        <x:v>试点判断</x:v>
      </x:c>
      <x:c r="E4" s="27"/>
      <x:c r="F4" s="27"/>
      <x:c r="G4" s="27"/>
      <x:c r="H4" s="27"/>
    </x:row>
    <x:row r="5" ht="15" hidden="0" customHeight="1">
      <x:c r="A5" s="24" t="str">
        <x:v>合成客户行数</x:v>
      </x:c>
      <x:c r="B5" s="24" t="n">
        <x:f>COUNTA('逐行预检'!$A$5:$A$16)</x:f>
        <x:v>12</x:v>
      </x:c>
      <x:c r="D5" s="28" t="str">
        <x:v>结论</x:v>
      </x:c>
      <x:c r="E5" s="24" t="str">
        <x:v>观察后继续</x:v>
      </x:c>
      <x:c r="F5" s="24"/>
      <x:c r="G5" s="24"/>
      <x:c r="H5" s="24"/>
    </x:row>
    <x:row r="6" ht="15" hidden="0" customHeight="1">
      <x:c r="A6" s="25" t="str">
        <x:v>已逐条对账</x:v>
      </x:c>
      <x:c r="B6" s="25" t="n">
        <x:f>COUNTIF('逐行预检'!$R$5:$R$16,"shadow_reconciled")</x:f>
        <x:v>2</x:v>
      </x:c>
      <x:c r="D6" s="29" t="str">
        <x:v>通过部分</x:v>
      </x:c>
      <x:c r="E6" s="25" t="str">
        <x:v>离线规则能稳定识别已设计的正常与异常路径</x:v>
      </x:c>
      <x:c r="F6" s="25"/>
      <x:c r="G6" s="25"/>
      <x:c r="H6" s="25"/>
    </x:row>
    <x:row r="7" ht="15" hidden="0" customHeight="1">
      <x:c r="A7" s="25" t="str">
        <x:v>等待人工确认</x:v>
      </x:c>
      <x:c r="B7" s="25" t="n">
        <x:f>COUNTIF('逐行预检'!$R$5:$R$16,"awaiting_human_confirmation")</x:f>
        <x:v>4</x:v>
      </x:c>
      <x:c r="D7" s="29" t="str">
        <x:v>未通过部分</x:v>
      </x:c>
      <x:c r="E7" s="25" t="str">
        <x:v>缺少真实样本、真实规则、接口、权限与系统负责人确认</x:v>
      </x:c>
      <x:c r="F7" s="25"/>
      <x:c r="G7" s="25"/>
      <x:c r="H7" s="25"/>
    </x:row>
    <x:row r="8" ht="15" hidden="0" customHeight="1">
      <x:c r="A8" s="25" t="str">
        <x:v>校验失败</x:v>
      </x:c>
      <x:c r="B8" s="25" t="n">
        <x:f>COUNTIF('逐行预检'!$R$5:$R$16,"validation_failed")</x:f>
        <x:v>1</x:v>
      </x:c>
      <x:c r="D8" s="29" t="str">
        <x:v>下一决策门</x:v>
      </x:c>
      <x:c r="E8" s="25" t="str">
        <x:v>先获取最小脱敏真实样本，再决定只读验证或停止</x:v>
      </x:c>
      <x:c r="F8" s="25"/>
      <x:c r="G8" s="25"/>
      <x:c r="H8" s="25"/>
    </x:row>
    <x:row r="9" ht="15" hidden="0" customHeight="1">
      <x:c r="A9" s="25" t="str">
        <x:v>停止处理</x:v>
      </x:c>
      <x:c r="B9" s="25" t="n">
        <x:f>COUNTIF('逐行预检'!$R$5:$R$16,"stopped")</x:f>
        <x:v>1</x:v>
      </x:c>
      <x:c r="D9" s="29" t="str">
        <x:v>生产状态</x:v>
      </x:c>
      <x:c r="E9" s="25" t="str">
        <x:v>阻塞：本试点不产生生产接入授权</x:v>
      </x:c>
      <x:c r="F9" s="25"/>
      <x:c r="G9" s="25"/>
      <x:c r="H9" s="25"/>
    </x:row>
    <x:row r="10"/>
    <x:row r="11" ht="15" hidden="0" customHeight="1">
      <x:c r="A11" s="17" t="str">
        <x:v>天次</x:v>
      </x:c>
      <x:c r="B11" s="33" t="str">
        <x:v>责任人</x:v>
      </x:c>
      <x:c r="C11" s="33" t="str">
        <x:v>本轮动作</x:v>
      </x:c>
      <x:c r="D11" s="33" t="str">
        <x:v>产物</x:v>
      </x:c>
      <x:c r="E11" s="33" t="str">
        <x:v>结果</x:v>
      </x:c>
      <x:c r="F11" s="33" t="str">
        <x:v>暂停检查</x:v>
      </x:c>
      <x:c r="G11" s="33" t="str">
        <x:v>证据等级</x:v>
      </x:c>
      <x:c r="H11" s="18" t="str">
        <x:v>生产连接</x:v>
      </x:c>
    </x:row>
    <x:row r="12" ht="24" hidden="0" customHeight="1">
      <x:c r="A12" s="24" t="str">
        <x:v>第1天</x:v>
      </x:c>
      <x:c r="B12" s="24" t="str">
        <x:v>改造方测试人员 + 模拟规则确认人</x:v>
      </x:c>
      <x:c r="C12" s="24" t="str">
        <x:v>固定字段、规则、状态、输入哈希</x:v>
      </x:c>
      <x:c r="D12" s="24" t="str">
        <x:v>字段字典、规则表、基线</x:v>
      </x:c>
      <x:c r="E12" s="24" t="str">
        <x:v>通过</x:v>
      </x:c>
      <x:c r="F12" s="24" t="str">
        <x:v>未触发</x:v>
      </x:c>
      <x:c r="G12" s="24" t="str">
        <x:v>E5</x:v>
      </x:c>
      <x:c r="H12" s="24" t="str">
        <x:v>否</x:v>
      </x:c>
    </x:row>
    <x:row r="13" ht="15" hidden="0" customHeight="1">
      <x:c r="A13" s="25" t="str">
        <x:v>第2天</x:v>
      </x:c>
      <x:c r="B13" s="25" t="str">
        <x:v>改造方测试人员</x:v>
      </x:c>
      <x:c r="C13" s="25" t="str">
        <x:v>逐行预检</x:v>
      </x:c>
      <x:c r="D13" s="25" t="str">
        <x:v>预检报告、人工队列</x:v>
      </x:c>
      <x:c r="E13" s="25" t="str">
        <x:v>通过</x:v>
      </x:c>
      <x:c r="F13" s="25" t="str">
        <x:v>未触发</x:v>
      </x:c>
      <x:c r="G13" s="25" t="str">
        <x:v>E5</x:v>
      </x:c>
      <x:c r="H13" s="25" t="str">
        <x:v>否</x:v>
      </x:c>
    </x:row>
    <x:row r="14" ht="15" hidden="0" customHeight="1">
      <x:c r="A14" s="25" t="str">
        <x:v>第3天</x:v>
      </x:c>
      <x:c r="B14" s="25" t="str">
        <x:v>测试人员 + 人工复核者</x:v>
      </x:c>
      <x:c r="C14" s="25" t="str">
        <x:v>只读对账</x:v>
      </x:c>
      <x:c r="D14" s="25" t="str">
        <x:v>异常分类、来源定位</x:v>
      </x:c>
      <x:c r="E14" s="25" t="str">
        <x:v>通过</x:v>
      </x:c>
      <x:c r="F14" s="25" t="str">
        <x:v>未触发</x:v>
      </x:c>
      <x:c r="G14" s="25" t="str">
        <x:v>E5</x:v>
      </x:c>
      <x:c r="H14" s="25" t="str">
        <x:v>否</x:v>
      </x:c>
    </x:row>
    <x:row r="15" ht="15" hidden="0" customHeight="1">
      <x:c r="A15" s="25" t="str">
        <x:v>第4天</x:v>
      </x:c>
      <x:c r="B15" s="25" t="str">
        <x:v>测试人员 + 业务复核者</x:v>
      </x:c>
      <x:c r="C15" s="25" t="str">
        <x:v>生成影子清单和回执</x:v>
      </x:c>
      <x:c r="D15" s="25" t="str">
        <x:v>执行草稿、回滚草稿、审计记录</x:v>
      </x:c>
      <x:c r="E15" s="25" t="str">
        <x:v>通过</x:v>
      </x:c>
      <x:c r="F15" s="25" t="str">
        <x:v>未触发</x:v>
      </x:c>
      <x:c r="G15" s="25" t="str">
        <x:v>E5</x:v>
      </x:c>
      <x:c r="H15" s="25" t="str">
        <x:v>否</x:v>
      </x:c>
    </x:row>
    <x:row r="16" ht="24" hidden="0" customHeight="1">
      <x:c r="A16" s="25" t="str">
        <x:v>第5天</x:v>
      </x:c>
      <x:c r="B16" s="25" t="str">
        <x:v>模拟评审组</x:v>
      </x:c>
      <x:c r="C16" s="25" t="str">
        <x:v>检查8类场景（6类逐行、2类规则级）</x:v>
      </x:c>
      <x:c r="D16" s="25" t="str">
        <x:v>试点复盘和下一决策门</x:v>
      </x:c>
      <x:c r="E16" s="25" t="str">
        <x:v>观察</x:v>
      </x:c>
      <x:c r="F16" s="25" t="str">
        <x:v>生产路线保持阻塞</x:v>
      </x:c>
      <x:c r="G16" s="25" t="str">
        <x:v>E5</x:v>
      </x:c>
      <x:c r="H16" s="25" t="str">
        <x:v>否</x:v>
      </x:c>
    </x:row>
    <x:row r="17" ht="15" hidden="0" customHeight="1">
      <x:c r="A17" s="25" t="str">
        <x:v>总边界</x:v>
      </x:c>
      <x:c r="B17" s="25" t="str">
        <x:v>Kang Jiaxin</x:v>
      </x:c>
      <x:c r="C17" s="25" t="str">
        <x:v>仅本地合成测试</x:v>
      </x:c>
      <x:c r="D17" s="25" t="str">
        <x:v>本工作簿</x:v>
      </x:c>
      <x:c r="E17" s="25" t="str">
        <x:v>不代表真实企业结果</x:v>
      </x:c>
      <x:c r="F17" s="25" t="str">
        <x:v>授权不明或要求生产写回即停止</x:v>
      </x:c>
      <x:c r="G17" s="25" t="str">
        <x:v>E5</x:v>
      </x:c>
      <x:c r="H17" s="25" t="str">
        <x:v>否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6" hidden="0" customWidth="1"/>
    <x:col min="4" max="4" width="15" hidden="0" customWidth="1"/>
    <x:col min="5" max="5" width="13" hidden="0" customWidth="1"/>
    <x:col min="6" max="6" width="13" hidden="0" customWidth="1"/>
    <x:col min="7" max="7" width="12" hidden="0" customWidth="1"/>
    <x:col min="8" max="8" width="14" hidden="0" customWidth="1"/>
    <x:col min="9" max="9" width="12" hidden="0" customWidth="1"/>
    <x:col min="10" max="10" width="13" hidden="0" customWidth="1"/>
    <x:col min="11" max="11" width="15" hidden="0" customWidth="1"/>
    <x:col min="12" max="12" width="28" hidden="0" customWidth="1"/>
    <x:col min="13" max="13" width="14" hidden="0" customWidth="1"/>
    <x:col min="14" max="14" width="18" hidden="0" customWidth="1"/>
    <x:col min="15" max="15" width="17" hidden="0" customWidth="1"/>
    <x:col min="16" max="16" width="14" hidden="0" customWidth="1"/>
    <x:col min="17" max="17" width="18" hidden="0" customWidth="1"/>
    <x:col min="18" max="18" width="25" hidden="0" customWidth="1"/>
    <x:col min="19" max="19" width="30" hidden="0" customWidth="1"/>
    <x:col min="20" max="20" width="34" hidden="0" customWidth="1"/>
    <x:col min="21" max="21" width="32" hidden="0" customWidth="1"/>
    <x:col min="22" max="22" width="24" hidden="0" customWidth="1"/>
    <x:col min="23" max="23" width="9" hidden="0" customWidth="1"/>
    <x:col min="24" max="24" width="46" hidden="0" customWidth="1"/>
    <x:col min="25" max="25" width="9" hidden="0" customWidth="1"/>
  </x:cols>
  <x:sheetData>
    <x:row r="1" ht="19.200000762939453" hidden="0" customHeight="1">
      <x:c r="A1" s="4" t="str">
        <x:v>逐行预检与影子状态</x:v>
      </x:c>
      <x:c r="B1" s="4" t="str">
        <x:v>逐行预检与影子状态</x:v>
      </x:c>
      <x:c r="C1" s="4" t="str">
        <x:v>逐行预检与影子状态</x:v>
      </x:c>
      <x:c r="D1" s="4" t="str">
        <x:v>逐行预检与影子状态</x:v>
      </x:c>
      <x:c r="E1" s="4" t="str">
        <x:v>逐行预检与影子状态</x:v>
      </x:c>
      <x:c r="F1" s="4" t="str">
        <x:v>逐行预检与影子状态</x:v>
      </x:c>
      <x:c r="G1" s="4" t="str">
        <x:v>逐行预检与影子状态</x:v>
      </x:c>
      <x:c r="H1" s="4" t="str">
        <x:v>逐行预检与影子状态</x:v>
      </x:c>
      <x:c r="I1" s="4" t="str">
        <x:v>逐行预检与影子状态</x:v>
      </x:c>
      <x:c r="J1" s="4" t="str">
        <x:v>逐行预检与影子状态</x:v>
      </x:c>
      <x:c r="K1" s="4" t="str">
        <x:v>逐行预检与影子状态</x:v>
      </x:c>
      <x:c r="L1" s="4" t="str">
        <x:v>逐行预检与影子状态</x:v>
      </x:c>
      <x:c r="M1" s="4" t="str">
        <x:v>逐行预检与影子状态</x:v>
      </x:c>
      <x:c r="N1" s="4" t="str">
        <x:v>逐行预检与影子状态</x:v>
      </x:c>
      <x:c r="O1" s="4" t="str">
        <x:v>逐行预检与影子状态</x:v>
      </x:c>
      <x:c r="P1" s="4" t="str">
        <x:v>逐行预检与影子状态</x:v>
      </x:c>
      <x:c r="Q1" s="4" t="str">
        <x:v>逐行预检与影子状态</x:v>
      </x:c>
      <x:c r="R1" s="4" t="str">
        <x:v>逐行预检与影子状态</x:v>
      </x:c>
      <x:c r="S1" s="4" t="str">
        <x:v>逐行预检与影子状态</x:v>
      </x:c>
      <x:c r="T1" s="4" t="str">
        <x:v>逐行预检与影子状态</x:v>
      </x:c>
      <x:c r="U1" s="4" t="str">
        <x:v>逐行预检与影子状态</x:v>
      </x:c>
      <x:c r="V1" s="4" t="str">
        <x:v>逐行预检与影子状态</x:v>
      </x:c>
      <x:c r="W1" s="4" t="str">
        <x:v>逐行预检与影子状态</x:v>
      </x:c>
      <x:c r="X1" s="4" t="str">
        <x:v>逐行预检与影子状态</x:v>
      </x:c>
      <x:c r="Y1" s="4" t="str">
        <x:v>逐行预检与影子状态</x:v>
      </x:c>
    </x:row>
    <x:row r="2" ht="15" hidden="0" customHeight="1">
      <x:c r="A2" s="8" t="str">
        <x:v>E5 AI模拟，待真实企业验证。每行只有一个影子状态；未知和冲突不得自动转为成功。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3"/>
    <x:row r="4" ht="15" hidden="0" customHeight="1">
      <x:c r="A4" s="17" t="str">
        <x:v>序号</x:v>
      </x:c>
      <x:c r="B4" s="33" t="str">
        <x:v>源行</x:v>
      </x:c>
      <x:c r="C4" s="33" t="str">
        <x:v>客户全称</x:v>
      </x:c>
      <x:c r="D4" s="33" t="str">
        <x:v>客户编号</x:v>
      </x:c>
      <x:c r="E4" s="33" t="str">
        <x:v>申报归属</x:v>
      </x:c>
      <x:c r="F4" s="33" t="str">
        <x:v>合成CRM归属</x:v>
      </x:c>
      <x:c r="G4" s="33" t="str">
        <x:v>接手销售</x:v>
      </x:c>
      <x:c r="H4" s="33" t="str">
        <x:v>接手部门</x:v>
      </x:c>
      <x:c r="I4" s="33" t="str">
        <x:v>生效日期</x:v>
      </x:c>
      <x:c r="J4" s="33" t="str">
        <x:v>交接事由</x:v>
      </x:c>
      <x:c r="K4" s="33" t="str">
        <x:v>跟进状态</x:v>
      </x:c>
      <x:c r="L4" s="33" t="str">
        <x:v>风险备注</x:v>
      </x:c>
      <x:c r="M4" s="33" t="str">
        <x:v>OA单号</x:v>
      </x:c>
      <x:c r="N4" s="33" t="str">
        <x:v>OA状态</x:v>
      </x:c>
      <x:c r="O4" s="33" t="str">
        <x:v>CRM日志</x:v>
      </x:c>
      <x:c r="P4" s="33" t="str">
        <x:v>执行状态</x:v>
      </x:c>
      <x:c r="Q4" s="33" t="str">
        <x:v>错误码</x:v>
      </x:c>
      <x:c r="R4" s="33" t="str">
        <x:v>影子状态</x:v>
      </x:c>
      <x:c r="S4" s="33" t="str">
        <x:v>异常说明</x:v>
      </x:c>
      <x:c r="T4" s="33" t="str">
        <x:v>安全动作</x:v>
      </x:c>
      <x:c r="U4" s="33" t="str">
        <x:v>禁止动作</x:v>
      </x:c>
      <x:c r="V4" s="33" t="str">
        <x:v>复核人</x:v>
      </x:c>
      <x:c r="W4" s="33" t="str">
        <x:v>风险</x:v>
      </x:c>
      <x:c r="X4" s="33" t="str">
        <x:v>证据定位</x:v>
      </x:c>
      <x:c r="Y4" s="18" t="str">
        <x:v>等级</x:v>
      </x:c>
    </x:row>
    <x:row r="5" ht="24" hidden="0" customHeight="1">
      <x:c r="A5" s="24" t="n">
        <x:v>1</x:v>
      </x:c>
      <x:c r="B5" s="24" t="n">
        <x:v>5</x:v>
      </x:c>
      <x:c r="C5" s="24" t="str">
        <x:v>星河制造</x:v>
      </x:c>
      <x:c r="D5" s="24" t="str">
        <x:v>CUST-001</x:v>
      </x:c>
      <x:c r="E5" s="24" t="str">
        <x:v>张敏</x:v>
      </x:c>
      <x:c r="F5" s="24" t="str">
        <x:v>张敏</x:v>
      </x:c>
      <x:c r="G5" s="24" t="str">
        <x:v>李浩</x:v>
      </x:c>
      <x:c r="H5" s="24" t="str">
        <x:v>华东一部</x:v>
      </x:c>
      <x:c r="I5" s="34" t="n">
        <x:v>46252</x:v>
      </x:c>
      <x:c r="J5" s="24" t="str">
        <x:v>协同拜访</x:v>
      </x:c>
      <x:c r="K5" s="24" t="str">
        <x:v>正常跟进</x:v>
      </x:c>
      <x:c r="L5" s="24" t="str">
        <x:v>无</x:v>
      </x:c>
      <x:c r="M5" s="24" t="str">
        <x:v>OA-SYN-001</x:v>
      </x:c>
      <x:c r="N5" s="24" t="str">
        <x:v>approved</x:v>
      </x:c>
      <x:c r="O5" s="24" t="str">
        <x:v>CRM-LOG-SYN-001</x:v>
      </x:c>
      <x:c r="P5" s="24" t="str">
        <x:v>success</x:v>
      </x:c>
      <x:c r="Q5" s="24" t="str"/>
      <x:c r="R5" s="24" t="str">
        <x:v>shadow_reconciled</x:v>
      </x:c>
      <x:c r="S5" s="24" t="str">
        <x:v>无；合成日志存在逐条成功记录</x:v>
      </x:c>
      <x:c r="T5" s="24" t="str">
        <x:v>纳入影子对账样本，不执行任何生产写回</x:v>
      </x:c>
      <x:c r="U5" s="24" t="str">
        <x:v>把合成成功率外推为真实业务指标</x:v>
      </x:c>
      <x:c r="V5" s="24" t="str">
        <x:v>业务复核者</x:v>
      </x:c>
      <x:c r="W5" s="24" t="str">
        <x:v>低</x:v>
      </x:c>
      <x:c r="X5" s="24" t="str">
        <x:v>MAT-SYN-001/客户交接清单!A5:L5; MAT-SYN-002/OA-SYN-001; MAT-SYN-003/CRM-LOG-SYN-001</x:v>
      </x:c>
      <x:c r="Y5" s="24" t="str">
        <x:v>E5</x:v>
      </x:c>
    </x:row>
    <x:row r="6" ht="24" hidden="0" customHeight="1">
      <x:c r="A6" s="25" t="n">
        <x:v>2</x:v>
      </x:c>
      <x:c r="B6" s="25" t="n">
        <x:v>6</x:v>
      </x:c>
      <x:c r="C6" s="25" t="str">
        <x:v>远航科技</x:v>
      </x:c>
      <x:c r="D6" s="25" t="str">
        <x:v>CUST-002</x:v>
      </x:c>
      <x:c r="E6" s="25" t="str">
        <x:v>王强</x:v>
      </x:c>
      <x:c r="F6" s="25" t="str">
        <x:v>未知</x:v>
      </x:c>
      <x:c r="G6" s="25" t="str">
        <x:v>陈璐</x:v>
      </x:c>
      <x:c r="H6" s="25" t="str">
        <x:v>华南二部</x:v>
      </x:c>
      <x:c r="I6" s="35" t="n">
        <x:v>46252</x:v>
      </x:c>
      <x:c r="J6" s="25" t="str">
        <x:v>协同拜访</x:v>
      </x:c>
      <x:c r="K6" s="25" t="str">
        <x:v>报价跟进</x:v>
      </x:c>
      <x:c r="L6" s="25" t="str">
        <x:v>重点客户，需确认拜访权限</x:v>
      </x:c>
      <x:c r="M6" s="25" t="str"/>
      <x:c r="N6" s="25" t="str">
        <x:v>未关联</x:v>
      </x:c>
      <x:c r="O6" s="25" t="str"/>
      <x:c r="P6" s="25" t="str">
        <x:v>未关联</x:v>
      </x:c>
      <x:c r="Q6" s="25" t="str"/>
      <x:c r="R6" s="25" t="str">
        <x:v>awaiting_result_evidence</x:v>
      </x:c>
      <x:c r="S6" s="25" t="str">
        <x:v>未找到可与该行唯一关联的OA及CRM逐条结果</x:v>
      </x:c>
      <x:c r="T6" s="25" t="str">
        <x:v>请求逐条执行回执后再确认</x:v>
      </x:c>
      <x:c r="U6" s="25" t="str">
        <x:v>把OA审批完成或笼统回复视为该客户成功</x:v>
      </x:c>
      <x:c r="V6" s="25" t="str">
        <x:v>业务运营负责人 + CRM管理员</x:v>
      </x:c>
      <x:c r="W6" s="25" t="str">
        <x:v>中</x:v>
      </x:c>
      <x:c r="X6" s="25" t="str">
        <x:v>MAT-SYN-001/客户交接清单!A6:L6</x:v>
      </x:c>
      <x:c r="Y6" s="25" t="str">
        <x:v>E5</x:v>
      </x:c>
    </x:row>
    <x:row r="7" ht="24" hidden="0" customHeight="1">
      <x:c r="A7" s="25" t="n">
        <x:v>3</x:v>
      </x:c>
      <x:c r="B7" s="25" t="n">
        <x:v>7</x:v>
      </x:c>
      <x:c r="C7" s="25" t="str">
        <x:v>新源物流</x:v>
      </x:c>
      <x:c r="D7" s="25" t="str"/>
      <x:c r="E7" s="25" t="str">
        <x:v>张敏</x:v>
      </x:c>
      <x:c r="F7" s="25" t="str">
        <x:v>unknown</x:v>
      </x:c>
      <x:c r="G7" s="25" t="str">
        <x:v>李浩</x:v>
      </x:c>
      <x:c r="H7" s="25" t="str">
        <x:v>华东一部</x:v>
      </x:c>
      <x:c r="I7" s="35" t="n">
        <x:v>46252</x:v>
      </x:c>
      <x:c r="J7" s="25" t="str">
        <x:v>临时授权</x:v>
      </x:c>
      <x:c r="K7" s="25" t="str">
        <x:v>首次协作</x:v>
      </x:c>
      <x:c r="L7" s="25" t="str">
        <x:v>客户编号缺失，需先核对CRM记录</x:v>
      </x:c>
      <x:c r="M7" s="25" t="str">
        <x:v>OA-SYN-002</x:v>
      </x:c>
      <x:c r="N7" s="25" t="str">
        <x:v>rejected</x:v>
      </x:c>
      <x:c r="O7" s="25" t="str">
        <x:v>CRM-LOG-SYN-002</x:v>
      </x:c>
      <x:c r="P7" s="25" t="str">
        <x:v>blocked</x:v>
      </x:c>
      <x:c r="Q7" s="25" t="str">
        <x:v>CUSTOMER_NOT_FOUND</x:v>
      </x:c>
      <x:c r="R7" s="25" t="str">
        <x:v>validation_failed</x:v>
      </x:c>
      <x:c r="S7" s="25" t="str">
        <x:v>CRM客户唯一编号缺失；合成日志显示客户无法匹配</x:v>
      </x:c>
      <x:c r="T7" s="25" t="str">
        <x:v>退回补充稳定编号或由有权人员人工核对</x:v>
      </x:c>
      <x:c r="U7" s="25" t="str">
        <x:v>仅按客户名称自动匹配并写入</x:v>
      </x:c>
      <x:c r="V7" s="25" t="str">
        <x:v>申请销售 + CRM管理员</x:v>
      </x:c>
      <x:c r="W7" s="25" t="str">
        <x:v>高</x:v>
      </x:c>
      <x:c r="X7" s="25" t="str">
        <x:v>MAT-SYN-001/客户交接清单!A7:L7; MAT-SYN-002/OA-SYN-002; MAT-SYN-003/CRM-LOG-SYN-002</x:v>
      </x:c>
      <x:c r="Y7" s="25" t="str">
        <x:v>E5</x:v>
      </x:c>
    </x:row>
    <x:row r="8" ht="24" hidden="0" customHeight="1">
      <x:c r="A8" s="25" t="n">
        <x:v>4</x:v>
      </x:c>
      <x:c r="B8" s="25" t="n">
        <x:v>8</x:v>
      </x:c>
      <x:c r="C8" s="25" t="str">
        <x:v>华南科技</x:v>
      </x:c>
      <x:c r="D8" s="25" t="str">
        <x:v>CUST-004A</x:v>
      </x:c>
      <x:c r="E8" s="25" t="str">
        <x:v>王强</x:v>
      </x:c>
      <x:c r="F8" s="25" t="str">
        <x:v>未知</x:v>
      </x:c>
      <x:c r="G8" s="25" t="str">
        <x:v>陈璐</x:v>
      </x:c>
      <x:c r="H8" s="25" t="str">
        <x:v>华南二部</x:v>
      </x:c>
      <x:c r="I8" s="35" t="n">
        <x:v>46253</x:v>
      </x:c>
      <x:c r="J8" s="25" t="str">
        <x:v>协同拜访</x:v>
      </x:c>
      <x:c r="K8" s="25" t="str">
        <x:v>持续跟进</x:v>
      </x:c>
      <x:c r="L8" s="25" t="str">
        <x:v>与第5行名称相同，需核实是否重复客户</x:v>
      </x:c>
      <x:c r="M8" s="25" t="str"/>
      <x:c r="N8" s="25" t="str">
        <x:v>未关联</x:v>
      </x:c>
      <x:c r="O8" s="25" t="str"/>
      <x:c r="P8" s="25" t="str">
        <x:v>未关联</x:v>
      </x:c>
      <x:c r="Q8" s="25" t="str"/>
      <x:c r="R8" s="25" t="str">
        <x:v>awaiting_human_confirmation</x:v>
      </x:c>
      <x:c r="S8" s="25" t="str">
        <x:v>同名客户存在多个CRM编号</x:v>
      </x:c>
      <x:c r="T8" s="25" t="str">
        <x:v>核对统一信用代码、联系人、地址和历史记录，形成合并/保留结论</x:v>
      </x:c>
      <x:c r="U8" s="25" t="str">
        <x:v>按名称自动选择或删除客户记录</x:v>
      </x:c>
      <x:c r="V8" s="25" t="str">
        <x:v>业务运营负责人 + CRM管理员</x:v>
      </x:c>
      <x:c r="W8" s="25" t="str">
        <x:v>高</x:v>
      </x:c>
      <x:c r="X8" s="25" t="str">
        <x:v>MAT-SYN-001/客户交接清单!A8:L8</x:v>
      </x:c>
      <x:c r="Y8" s="25" t="str">
        <x:v>E5</x:v>
      </x:c>
    </x:row>
    <x:row r="9" ht="24" hidden="0" customHeight="1">
      <x:c r="A9" s="25" t="n">
        <x:v>5</x:v>
      </x:c>
      <x:c r="B9" s="25" t="n">
        <x:v>9</x:v>
      </x:c>
      <x:c r="C9" s="25" t="str">
        <x:v>华南科技</x:v>
      </x:c>
      <x:c r="D9" s="25" t="str">
        <x:v>CUST-004B</x:v>
      </x:c>
      <x:c r="E9" s="25" t="str">
        <x:v>王强</x:v>
      </x:c>
      <x:c r="F9" s="25" t="str">
        <x:v>未知</x:v>
      </x:c>
      <x:c r="G9" s="25" t="str">
        <x:v>陈璐</x:v>
      </x:c>
      <x:c r="H9" s="25" t="str">
        <x:v>华南二部</x:v>
      </x:c>
      <x:c r="I9" s="35" t="n">
        <x:v>46253</x:v>
      </x:c>
      <x:c r="J9" s="25" t="str">
        <x:v>协同拜访</x:v>
      </x:c>
      <x:c r="K9" s="25" t="str">
        <x:v>持续跟进</x:v>
      </x:c>
      <x:c r="L9" s="25" t="str">
        <x:v>疑似重复记录，不得直接删除</x:v>
      </x:c>
      <x:c r="M9" s="25" t="str"/>
      <x:c r="N9" s="25" t="str">
        <x:v>未关联</x:v>
      </x:c>
      <x:c r="O9" s="25" t="str"/>
      <x:c r="P9" s="25" t="str">
        <x:v>未关联</x:v>
      </x:c>
      <x:c r="Q9" s="25" t="str"/>
      <x:c r="R9" s="25" t="str">
        <x:v>awaiting_human_confirmation</x:v>
      </x:c>
      <x:c r="S9" s="25" t="str">
        <x:v>同名客户存在多个CRM编号</x:v>
      </x:c>
      <x:c r="T9" s="25" t="str">
        <x:v>核对统一信用代码、联系人、地址和历史记录，形成合并/保留结论</x:v>
      </x:c>
      <x:c r="U9" s="25" t="str">
        <x:v>按名称自动选择或删除客户记录</x:v>
      </x:c>
      <x:c r="V9" s="25" t="str">
        <x:v>业务运营负责人 + CRM管理员</x:v>
      </x:c>
      <x:c r="W9" s="25" t="str">
        <x:v>高</x:v>
      </x:c>
      <x:c r="X9" s="25" t="str">
        <x:v>MAT-SYN-001/客户交接清单!A9:L9</x:v>
      </x:c>
      <x:c r="Y9" s="25" t="str">
        <x:v>E5</x:v>
      </x:c>
    </x:row>
    <x:row r="10" ht="24" hidden="0" customHeight="1">
      <x:c r="A10" s="25" t="n">
        <x:v>6</x:v>
      </x:c>
      <x:c r="B10" s="25" t="n">
        <x:v>10</x:v>
      </x:c>
      <x:c r="C10" s="25" t="str">
        <x:v>启明医疗</x:v>
      </x:c>
      <x:c r="D10" s="25" t="str">
        <x:v>CUST-006</x:v>
      </x:c>
      <x:c r="E10" s="25" t="str">
        <x:v>王强</x:v>
      </x:c>
      <x:c r="F10" s="25" t="str">
        <x:v>赵凯</x:v>
      </x:c>
      <x:c r="G10" s="25" t="str">
        <x:v>李浩</x:v>
      </x:c>
      <x:c r="H10" s="25" t="str">
        <x:v>华东一部</x:v>
      </x:c>
      <x:c r="I10" s="35" t="n">
        <x:v>46254</x:v>
      </x:c>
      <x:c r="J10" s="25" t="str">
        <x:v>离职交接</x:v>
      </x:c>
      <x:c r="K10" s="25" t="str">
        <x:v>项目交接中</x:v>
      </x:c>
      <x:c r="L10" s="25" t="str">
        <x:v>大客户，原归属及交接双方需加签确认</x:v>
      </x:c>
      <x:c r="M10" s="25" t="str">
        <x:v>OA-SYN-003</x:v>
      </x:c>
      <x:c r="N10" s="25" t="str">
        <x:v>returned_for_countersign</x:v>
      </x:c>
      <x:c r="O10" s="25" t="str">
        <x:v>CRM-LOG-SYN-003</x:v>
      </x:c>
      <x:c r="P10" s="25" t="str">
        <x:v>blocked</x:v>
      </x:c>
      <x:c r="Q10" s="25" t="str">
        <x:v>OWNER_MISMATCH</x:v>
      </x:c>
      <x:c r="R10" s="25" t="str">
        <x:v>awaiting_human_confirmation</x:v>
      </x:c>
      <x:c r="S10" s="25" t="str">
        <x:v>申报归属王强与合成CRM归属赵凯不一致</x:v>
      </x:c>
      <x:c r="T10" s="25" t="str">
        <x:v>暂停并补加签真实归属人，必要时进入组织确认</x:v>
      </x:c>
      <x:c r="U10" s="25" t="str">
        <x:v>单方面修改CRM归属</x:v>
      </x:c>
      <x:c r="V10" s="25" t="str">
        <x:v>业务运营负责人（H2）</x:v>
      </x:c>
      <x:c r="W10" s="25" t="str">
        <x:v>高</x:v>
      </x:c>
      <x:c r="X10" s="25" t="str">
        <x:v>MAT-SYN-001/客户交接清单!A10:L10; MAT-SYN-002/OA-SYN-003; MAT-SYN-003/CRM-LOG-SYN-003</x:v>
      </x:c>
      <x:c r="Y10" s="25" t="str">
        <x:v>E5</x:v>
      </x:c>
    </x:row>
    <x:row r="11" ht="24" hidden="0" customHeight="1">
      <x:c r="A11" s="25" t="n">
        <x:v>7</x:v>
      </x:c>
      <x:c r="B11" s="25" t="n">
        <x:v>11</x:v>
      </x:c>
      <x:c r="C11" s="25" t="str">
        <x:v>北辰能源</x:v>
      </x:c>
      <x:c r="D11" s="25" t="str">
        <x:v>CUST-007</x:v>
      </x:c>
      <x:c r="E11" s="25" t="str">
        <x:v>赵凯</x:v>
      </x:c>
      <x:c r="F11" s="25" t="str">
        <x:v>赵凯</x:v>
      </x:c>
      <x:c r="G11" s="25" t="str">
        <x:v>陈璐</x:v>
      </x:c>
      <x:c r="H11" s="25" t="str">
        <x:v>华南二部</x:v>
      </x:c>
      <x:c r="I11" s="35" t="n">
        <x:v>46254</x:v>
      </x:c>
      <x:c r="J11" s="25" t="str">
        <x:v>协同拜访</x:v>
      </x:c>
      <x:c r="K11" s="25" t="str">
        <x:v>项目推进中</x:v>
      </x:c>
      <x:c r="L11" s="25" t="str">
        <x:v>跨部门客户，需确认实际归属人</x:v>
      </x:c>
      <x:c r="M11" s="25" t="str">
        <x:v>OA-SYN-005</x:v>
      </x:c>
      <x:c r="N11" s="25" t="str">
        <x:v>paused</x:v>
      </x:c>
      <x:c r="O11" s="25" t="str">
        <x:v>CRM-LOG-SYN-006</x:v>
      </x:c>
      <x:c r="P11" s="25" t="str">
        <x:v>blocked</x:v>
      </x:c>
      <x:c r="Q11" s="25" t="str">
        <x:v>DISPUTE_OPEN</x:v>
      </x:c>
      <x:c r="R11" s="25" t="str">
        <x:v>stopped</x:v>
      </x:c>
      <x:c r="S11" s="25" t="str">
        <x:v>归属争议尚未结案</x:v>
      </x:c>
      <x:c r="T11" s="25" t="str">
        <x:v>冻结新增转让，保留当前服务权限，等待有权角色裁决</x:v>
      </x:c>
      <x:c r="U11" s="25" t="str">
        <x:v>争议期间新增或二次分配客户</x:v>
      </x:c>
      <x:c r="V11" s="25" t="str">
        <x:v>业务运营负责人（H2）</x:v>
      </x:c>
      <x:c r="W11" s="25" t="str">
        <x:v>高</x:v>
      </x:c>
      <x:c r="X11" s="25" t="str">
        <x:v>MAT-SYN-001/客户交接清单!A11:L11; MAT-SYN-002/OA-SYN-005; MAT-SYN-003/CRM-LOG-SYN-006</x:v>
      </x:c>
      <x:c r="Y11" s="25" t="str">
        <x:v>E5</x:v>
      </x:c>
    </x:row>
    <x:row r="12" ht="24" hidden="0" customHeight="1">
      <x:c r="A12" s="25" t="n">
        <x:v>8</x:v>
      </x:c>
      <x:c r="B12" s="25" t="n">
        <x:v>12</x:v>
      </x:c>
      <x:c r="C12" s="25" t="str">
        <x:v>蓝海零售</x:v>
      </x:c>
      <x:c r="D12" s="25" t="str">
        <x:v>CUST-008</x:v>
      </x:c>
      <x:c r="E12" s="25" t="str">
        <x:v>张敏</x:v>
      </x:c>
      <x:c r="F12" s="25" t="str">
        <x:v>未知</x:v>
      </x:c>
      <x:c r="G12" s="25" t="str">
        <x:v>李浩</x:v>
      </x:c>
      <x:c r="H12" s="25" t="str">
        <x:v>华东一部</x:v>
      </x:c>
      <x:c r="I12" s="35" t="n">
        <x:v>46254</x:v>
      </x:c>
      <x:c r="J12" s="25" t="str">
        <x:v>协同拜访</x:v>
      </x:c>
      <x:c r="K12" s="25" t="str">
        <x:v>正常跟进</x:v>
      </x:c>
      <x:c r="L12" s="25" t="str">
        <x:v>无</x:v>
      </x:c>
      <x:c r="M12" s="25" t="str"/>
      <x:c r="N12" s="25" t="str">
        <x:v>未关联</x:v>
      </x:c>
      <x:c r="O12" s="25" t="str"/>
      <x:c r="P12" s="25" t="str">
        <x:v>未关联</x:v>
      </x:c>
      <x:c r="Q12" s="25" t="str"/>
      <x:c r="R12" s="25" t="str">
        <x:v>awaiting_result_evidence</x:v>
      </x:c>
      <x:c r="S12" s="25" t="str">
        <x:v>未找到可与该行唯一关联的OA及CRM逐条结果</x:v>
      </x:c>
      <x:c r="T12" s="25" t="str">
        <x:v>请求逐条执行回执后再确认</x:v>
      </x:c>
      <x:c r="U12" s="25" t="str">
        <x:v>把OA审批完成或笼统回复视为该客户成功</x:v>
      </x:c>
      <x:c r="V12" s="25" t="str">
        <x:v>业务运营负责人 + CRM管理员</x:v>
      </x:c>
      <x:c r="W12" s="25" t="str">
        <x:v>中</x:v>
      </x:c>
      <x:c r="X12" s="25" t="str">
        <x:v>MAT-SYN-001/客户交接清单!A12:L12</x:v>
      </x:c>
      <x:c r="Y12" s="25" t="str">
        <x:v>E5</x:v>
      </x:c>
    </x:row>
    <x:row r="13" ht="24" hidden="0" customHeight="1">
      <x:c r="A13" s="25" t="n">
        <x:v>9</x:v>
      </x:c>
      <x:c r="B13" s="25" t="n">
        <x:v>13</x:v>
      </x:c>
      <x:c r="C13" s="25" t="str">
        <x:v>安泰化工</x:v>
      </x:c>
      <x:c r="D13" s="25" t="str">
        <x:v>CUST-009</x:v>
      </x:c>
      <x:c r="E13" s="25" t="str">
        <x:v>赵凯</x:v>
      </x:c>
      <x:c r="F13" s="25" t="str">
        <x:v>未知</x:v>
      </x:c>
      <x:c r="G13" s="25" t="str">
        <x:v>陈璐</x:v>
      </x:c>
      <x:c r="H13" s="25" t="str">
        <x:v>华南二部</x:v>
      </x:c>
      <x:c r="I13" s="35" t="n">
        <x:v>46255</x:v>
      </x:c>
      <x:c r="J13" s="25" t="str">
        <x:v>临时授权</x:v>
      </x:c>
      <x:c r="K13" s="25" t="str">
        <x:v>待客户确认</x:v>
      </x:c>
      <x:c r="L13" s="25" t="str">
        <x:v>无</x:v>
      </x:c>
      <x:c r="M13" s="25" t="str"/>
      <x:c r="N13" s="25" t="str">
        <x:v>未关联</x:v>
      </x:c>
      <x:c r="O13" s="25" t="str"/>
      <x:c r="P13" s="25" t="str">
        <x:v>未关联</x:v>
      </x:c>
      <x:c r="Q13" s="25" t="str"/>
      <x:c r="R13" s="25" t="str">
        <x:v>awaiting_result_evidence</x:v>
      </x:c>
      <x:c r="S13" s="25" t="str">
        <x:v>未找到可与该行唯一关联的OA及CRM逐条结果</x:v>
      </x:c>
      <x:c r="T13" s="25" t="str">
        <x:v>请求逐条执行回执后再确认</x:v>
      </x:c>
      <x:c r="U13" s="25" t="str">
        <x:v>把OA审批完成或笼统回复视为该客户成功</x:v>
      </x:c>
      <x:c r="V13" s="25" t="str">
        <x:v>业务运营负责人 + CRM管理员</x:v>
      </x:c>
      <x:c r="W13" s="25" t="str">
        <x:v>中</x:v>
      </x:c>
      <x:c r="X13" s="25" t="str">
        <x:v>MAT-SYN-001/客户交接清单!A13:L13</x:v>
      </x:c>
      <x:c r="Y13" s="25" t="str">
        <x:v>E5</x:v>
      </x:c>
    </x:row>
    <x:row r="14" ht="24" hidden="0" customHeight="1">
      <x:c r="A14" s="25" t="n">
        <x:v>10</x:v>
      </x:c>
      <x:c r="B14" s="25" t="n">
        <x:v>14</x:v>
      </x:c>
      <x:c r="C14" s="25" t="str">
        <x:v>嘉禾食品</x:v>
      </x:c>
      <x:c r="D14" s="25" t="str">
        <x:v>CUST-010</x:v>
      </x:c>
      <x:c r="E14" s="25" t="str">
        <x:v>张敏</x:v>
      </x:c>
      <x:c r="F14" s="25" t="str">
        <x:v>未知</x:v>
      </x:c>
      <x:c r="G14" s="25" t="str">
        <x:v>李浩</x:v>
      </x:c>
      <x:c r="H14" s="25" t="str">
        <x:v>华东一部</x:v>
      </x:c>
      <x:c r="I14" s="35" t="n">
        <x:v>46255</x:v>
      </x:c>
      <x:c r="J14" s="25" t="str">
        <x:v>协同拜访</x:v>
      </x:c>
      <x:c r="K14" s="25" t="str">
        <x:v>正常跟进</x:v>
      </x:c>
      <x:c r="L14" s="25" t="str">
        <x:v>无</x:v>
      </x:c>
      <x:c r="M14" s="25" t="str"/>
      <x:c r="N14" s="25" t="str">
        <x:v>未关联</x:v>
      </x:c>
      <x:c r="O14" s="25" t="str"/>
      <x:c r="P14" s="25" t="str">
        <x:v>未关联</x:v>
      </x:c>
      <x:c r="Q14" s="25" t="str"/>
      <x:c r="R14" s="25" t="str">
        <x:v>awaiting_result_evidence</x:v>
      </x:c>
      <x:c r="S14" s="25" t="str">
        <x:v>未找到可与该行唯一关联的OA及CRM逐条结果</x:v>
      </x:c>
      <x:c r="T14" s="25" t="str">
        <x:v>请求逐条执行回执后再确认</x:v>
      </x:c>
      <x:c r="U14" s="25" t="str">
        <x:v>把OA审批完成或笼统回复视为该客户成功</x:v>
      </x:c>
      <x:c r="V14" s="25" t="str">
        <x:v>业务运营负责人 + CRM管理员</x:v>
      </x:c>
      <x:c r="W14" s="25" t="str">
        <x:v>中</x:v>
      </x:c>
      <x:c r="X14" s="25" t="str">
        <x:v>MAT-SYN-001/客户交接清单!A14:L14</x:v>
      </x:c>
      <x:c r="Y14" s="25" t="str">
        <x:v>E5</x:v>
      </x:c>
    </x:row>
    <x:row r="15" ht="24" hidden="0" customHeight="1">
      <x:c r="A15" s="25" t="n">
        <x:v>11</x:v>
      </x:c>
      <x:c r="B15" s="25" t="n">
        <x:v>15</x:v>
      </x:c>
      <x:c r="C15" s="25" t="str">
        <x:v>离职交接名单-01</x:v>
      </x:c>
      <x:c r="D15" s="25" t="str">
        <x:v>CUST-011</x:v>
      </x:c>
      <x:c r="E15" s="25" t="str">
        <x:v>王强</x:v>
      </x:c>
      <x:c r="F15" s="25" t="str">
        <x:v>王强</x:v>
      </x:c>
      <x:c r="G15" s="25" t="str">
        <x:v>陈璐</x:v>
      </x:c>
      <x:c r="H15" s="25" t="str">
        <x:v>华南二部</x:v>
      </x:c>
      <x:c r="I15" s="35" t="n">
        <x:v>46256</x:v>
      </x:c>
      <x:c r="J15" s="25" t="str">
        <x:v>离职交接</x:v>
      </x:c>
      <x:c r="K15" s="25" t="str">
        <x:v>批量交接</x:v>
      </x:c>
      <x:c r="L15" s="25" t="str">
        <x:v>批量清单第1条</x:v>
      </x:c>
      <x:c r="M15" s="25" t="str">
        <x:v>OA-SYN-004</x:v>
      </x:c>
      <x:c r="N15" s="25" t="str">
        <x:v>approved</x:v>
      </x:c>
      <x:c r="O15" s="25" t="str">
        <x:v>CRM-LOG-SYN-004</x:v>
      </x:c>
      <x:c r="P15" s="25" t="str">
        <x:v>success</x:v>
      </x:c>
      <x:c r="Q15" s="25" t="str"/>
      <x:c r="R15" s="25" t="str">
        <x:v>shadow_reconciled</x:v>
      </x:c>
      <x:c r="S15" s="25" t="str">
        <x:v>无；合成日志存在逐条成功记录</x:v>
      </x:c>
      <x:c r="T15" s="25" t="str">
        <x:v>纳入影子对账样本，不执行任何生产写回</x:v>
      </x:c>
      <x:c r="U15" s="25" t="str">
        <x:v>把合成成功率外推为真实业务指标</x:v>
      </x:c>
      <x:c r="V15" s="25" t="str">
        <x:v>业务复核者</x:v>
      </x:c>
      <x:c r="W15" s="25" t="str">
        <x:v>低</x:v>
      </x:c>
      <x:c r="X15" s="25" t="str">
        <x:v>MAT-SYN-001/客户交接清单!A15:L15; MAT-SYN-002/OA-SYN-004; MAT-SYN-003/CRM-LOG-SYN-004</x:v>
      </x:c>
      <x:c r="Y15" s="25" t="str">
        <x:v>E5</x:v>
      </x:c>
    </x:row>
    <x:row r="16" ht="24" hidden="0" customHeight="1">
      <x:c r="A16" s="25" t="n">
        <x:v>12</x:v>
      </x:c>
      <x:c r="B16" s="25" t="n">
        <x:v>16</x:v>
      </x:c>
      <x:c r="C16" s="25" t="str">
        <x:v>离职交接名单-02</x:v>
      </x:c>
      <x:c r="D16" s="25" t="str">
        <x:v>CUST-012</x:v>
      </x:c>
      <x:c r="E16" s="25" t="str">
        <x:v>王强</x:v>
      </x:c>
      <x:c r="F16" s="25" t="str">
        <x:v>王强</x:v>
      </x:c>
      <x:c r="G16" s="25" t="str">
        <x:v>陈璐</x:v>
      </x:c>
      <x:c r="H16" s="25" t="str">
        <x:v>华南二部</x:v>
      </x:c>
      <x:c r="I16" s="35" t="n">
        <x:v>46256</x:v>
      </x:c>
      <x:c r="J16" s="25" t="str">
        <x:v>离职交接</x:v>
      </x:c>
      <x:c r="K16" s="25" t="str">
        <x:v>批量交接</x:v>
      </x:c>
      <x:c r="L16" s="25" t="str">
        <x:v>批量清单第2条，需与CRM导入结果逐条核对</x:v>
      </x:c>
      <x:c r="M16" s="25" t="str">
        <x:v>OA-SYN-004</x:v>
      </x:c>
      <x:c r="N16" s="25" t="str">
        <x:v>approved</x:v>
      </x:c>
      <x:c r="O16" s="25" t="str">
        <x:v>CRM-LOG-SYN-005</x:v>
      </x:c>
      <x:c r="P16" s="25" t="str">
        <x:v>failed</x:v>
      </x:c>
      <x:c r="Q16" s="25" t="str">
        <x:v>CUSTOMER_LOCKED</x:v>
      </x:c>
      <x:c r="R16" s="25" t="str">
        <x:v>awaiting_human_confirmation</x:v>
      </x:c>
      <x:c r="S16" s="25" t="str">
        <x:v>客户锁定导致批量更新失败</x:v>
      </x:c>
      <x:c r="T16" s="25" t="str">
        <x:v>交由有权限人员复核并保留失败状态</x:v>
      </x:c>
      <x:c r="U16" s="25" t="str">
        <x:v>绕过锁定或回复整批完成</x:v>
      </x:c>
      <x:c r="V16" s="25" t="str">
        <x:v>CRM管理员 + 授权负责人</x:v>
      </x:c>
      <x:c r="W16" s="25" t="str">
        <x:v>高</x:v>
      </x:c>
      <x:c r="X16" s="25" t="str">
        <x:v>MAT-SYN-001/客户交接清单!A16:L16; MAT-SYN-002/OA-SYN-004; MAT-SYN-003/CRM-LOG-SYN-005</x:v>
      </x:c>
      <x:c r="Y16" s="25" t="str">
        <x:v>E5</x:v>
      </x:c>
    </x:row>
  </x:sheetData>
  <x:mergeCells>
    <x:mergeCell ref="A1:Y1"/>
    <x:mergeCell ref="A2:Y2"/>
  </x:mergeCells>
  <x:conditionalFormatting sqref="R5:R16">
    <x:cfRule type="containsText" dxfId="0" priority="1" operator="containsText" text="shadow_reconciled"/>
    <x:cfRule type="containsText" dxfId="1" priority="2" operator="containsText" text="awaiting"/>
    <x:cfRule type="containsText" dxfId="2" priority="3" operator="containsText" text="validation_failed"/>
    <x:cfRule type="containsText" dxfId="3" priority="4" operator="containsText" text="stopped"/>
  </x:conditionalFormatting>
  <x:conditionalFormatting sqref="W5:W16">
    <x:cfRule type="containsText" dxfId="4" priority="5" operator="containsText" text="高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5" hidden="0" customWidth="1"/>
    <x:col min="4" max="4" width="25" hidden="0" customWidth="1"/>
    <x:col min="5" max="5" width="32" hidden="0" customWidth="1"/>
    <x:col min="6" max="6" width="24" hidden="0" customWidth="1"/>
    <x:col min="7" max="7" width="30" hidden="0" customWidth="1"/>
    <x:col min="8" max="8" width="34" hidden="0" customWidth="1"/>
    <x:col min="9" max="9" width="32" hidden="0" customWidth="1"/>
    <x:col min="10" max="10" width="48" hidden="0" customWidth="1"/>
    <x:col min="11" max="11" width="18" hidden="0" customWidth="1"/>
    <x:col min="12" max="12" width="13" hidden="0" customWidth="1"/>
  </x:cols>
  <x:sheetData>
    <x:row r="1" ht="19.200000762939453" hidden="0" customHeight="1">
      <x:c r="A1" s="4" t="str">
        <x:v>人工确认与补证队列</x:v>
      </x:c>
      <x:c r="B1" s="4" t="str">
        <x:v>人工确认与补证队列</x:v>
      </x:c>
      <x:c r="C1" s="4" t="str">
        <x:v>人工确认与补证队列</x:v>
      </x:c>
      <x:c r="D1" s="4" t="str">
        <x:v>人工确认与补证队列</x:v>
      </x:c>
      <x:c r="E1" s="4" t="str">
        <x:v>人工确认与补证队列</x:v>
      </x:c>
      <x:c r="F1" s="4" t="str">
        <x:v>人工确认与补证队列</x:v>
      </x:c>
      <x:c r="G1" s="4" t="str">
        <x:v>人工确认与补证队列</x:v>
      </x:c>
      <x:c r="H1" s="4" t="str">
        <x:v>人工确认与补证队列</x:v>
      </x:c>
      <x:c r="I1" s="4" t="str">
        <x:v>人工确认与补证队列</x:v>
      </x:c>
      <x:c r="J1" s="4" t="str">
        <x:v>人工确认与补证队列</x:v>
      </x:c>
      <x:c r="K1" s="4" t="str">
        <x:v>人工确认与补证队列</x:v>
      </x:c>
      <x:c r="L1" s="4" t="str">
        <x:v>人工确认与补证队列</x:v>
      </x:c>
    </x:row>
    <x:row r="2" ht="15" hidden="0" customHeight="1">
      <x:c r="A2" s="8" t="str">
        <x:v>E5 AI模拟，待真实企业验证。队列中的项目不会自动进入执行；“待证据”不等于失败，也不等于成功。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/>
    <x:row r="4" ht="15" hidden="0" customHeight="1">
      <x:c r="A4" s="17" t="str">
        <x:v>优先级</x:v>
      </x:c>
      <x:c r="B4" s="33" t="str">
        <x:v>客户</x:v>
      </x:c>
      <x:c r="C4" s="33" t="str">
        <x:v>客户编号</x:v>
      </x:c>
      <x:c r="D4" s="33" t="str">
        <x:v>影子状态</x:v>
      </x:c>
      <x:c r="E4" s="33" t="str">
        <x:v>问题</x:v>
      </x:c>
      <x:c r="F4" s="33" t="str">
        <x:v>需要谁确认</x:v>
      </x:c>
      <x:c r="G4" s="33" t="str">
        <x:v>最小证据</x:v>
      </x:c>
      <x:c r="H4" s="33" t="str">
        <x:v>安全动作</x:v>
      </x:c>
      <x:c r="I4" s="33" t="str">
        <x:v>禁止动作</x:v>
      </x:c>
      <x:c r="J4" s="33" t="str">
        <x:v>来源</x:v>
      </x:c>
      <x:c r="K4" s="33" t="str">
        <x:v>确认结果</x:v>
      </x:c>
      <x:c r="L4" s="18" t="str">
        <x:v>确认日期</x:v>
      </x:c>
    </x:row>
    <x:row r="5" ht="15" hidden="0" customHeight="1">
      <x:c r="A5" s="24" t="str">
        <x:v>P1</x:v>
      </x:c>
      <x:c r="B5" s="24" t="str">
        <x:v>远航科技</x:v>
      </x:c>
      <x:c r="C5" s="24" t="str">
        <x:v>CUST-002</x:v>
      </x:c>
      <x:c r="D5" s="24" t="str">
        <x:v>awaiting_result_evidence</x:v>
      </x:c>
      <x:c r="E5" s="24" t="str">
        <x:v>未找到可与该行唯一关联的OA及CRM逐条结果</x:v>
      </x:c>
      <x:c r="F5" s="24" t="str">
        <x:v>业务运营负责人 + CRM管理员</x:v>
      </x:c>
      <x:c r="G5" s="24" t="str">
        <x:v>对应OA单、逐条CRM结果和操作时间</x:v>
      </x:c>
      <x:c r="H5" s="24" t="str">
        <x:v>请求逐条执行回执后再确认</x:v>
      </x:c>
      <x:c r="I5" s="24" t="str">
        <x:v>把OA审批完成或笼统回复视为该客户成功</x:v>
      </x:c>
      <x:c r="J5" s="24" t="str">
        <x:v>MAT-SYN-001/客户交接清单!A6:L6</x:v>
      </x:c>
      <x:c r="K5" s="24" t="str">
        <x:v>待真实企业验证</x:v>
      </x:c>
      <x:c r="L5" s="24" t="str"/>
    </x:row>
    <x:row r="6" ht="24" hidden="0" customHeight="1">
      <x:c r="A6" s="25" t="str">
        <x:v>P0</x:v>
      </x:c>
      <x:c r="B6" s="25" t="str">
        <x:v>新源物流</x:v>
      </x:c>
      <x:c r="C6" s="25" t="str"/>
      <x:c r="D6" s="25" t="str">
        <x:v>validation_failed</x:v>
      </x:c>
      <x:c r="E6" s="25" t="str">
        <x:v>CRM客户唯一编号缺失；合成日志显示客户无法匹配</x:v>
      </x:c>
      <x:c r="F6" s="25" t="str">
        <x:v>申请销售 + CRM管理员</x:v>
      </x:c>
      <x:c r="G6" s="25" t="str">
        <x:v>真实系统记录与有权角色确认</x:v>
      </x:c>
      <x:c r="H6" s="25" t="str">
        <x:v>退回补充稳定编号或由有权人员人工核对</x:v>
      </x:c>
      <x:c r="I6" s="25" t="str">
        <x:v>仅按客户名称自动匹配并写入</x:v>
      </x:c>
      <x:c r="J6" s="25" t="str">
        <x:v>MAT-SYN-001/客户交接清单!A7:L7; MAT-SYN-002/OA-SYN-002; MAT-SYN-003/CRM-LOG-SYN-002</x:v>
      </x:c>
      <x:c r="K6" s="25" t="str">
        <x:v>待真实企业验证</x:v>
      </x:c>
      <x:c r="L6" s="25" t="str"/>
    </x:row>
    <x:row r="7" ht="24" hidden="0" customHeight="1">
      <x:c r="A7" s="25" t="str">
        <x:v>P0</x:v>
      </x:c>
      <x:c r="B7" s="25" t="str">
        <x:v>华南科技</x:v>
      </x:c>
      <x:c r="C7" s="25" t="str">
        <x:v>CUST-004A</x:v>
      </x:c>
      <x:c r="D7" s="25" t="str">
        <x:v>awaiting_human_confirmation</x:v>
      </x:c>
      <x:c r="E7" s="25" t="str">
        <x:v>同名客户存在多个CRM编号</x:v>
      </x:c>
      <x:c r="F7" s="25" t="str">
        <x:v>业务运营负责人 + CRM管理员</x:v>
      </x:c>
      <x:c r="G7" s="25" t="str">
        <x:v>真实系统记录与有权角色确认</x:v>
      </x:c>
      <x:c r="H7" s="25" t="str">
        <x:v>核对统一信用代码、联系人、地址和历史记录，形成合并/保留结论</x:v>
      </x:c>
      <x:c r="I7" s="25" t="str">
        <x:v>按名称自动选择或删除客户记录</x:v>
      </x:c>
      <x:c r="J7" s="25" t="str">
        <x:v>MAT-SYN-001/客户交接清单!A8:L8</x:v>
      </x:c>
      <x:c r="K7" s="25" t="str">
        <x:v>待真实企业验证</x:v>
      </x:c>
      <x:c r="L7" s="25" t="str"/>
    </x:row>
    <x:row r="8" ht="24" hidden="0" customHeight="1">
      <x:c r="A8" s="25" t="str">
        <x:v>P0</x:v>
      </x:c>
      <x:c r="B8" s="25" t="str">
        <x:v>华南科技</x:v>
      </x:c>
      <x:c r="C8" s="25" t="str">
        <x:v>CUST-004B</x:v>
      </x:c>
      <x:c r="D8" s="25" t="str">
        <x:v>awaiting_human_confirmation</x:v>
      </x:c>
      <x:c r="E8" s="25" t="str">
        <x:v>同名客户存在多个CRM编号</x:v>
      </x:c>
      <x:c r="F8" s="25" t="str">
        <x:v>业务运营负责人 + CRM管理员</x:v>
      </x:c>
      <x:c r="G8" s="25" t="str">
        <x:v>真实系统记录与有权角色确认</x:v>
      </x:c>
      <x:c r="H8" s="25" t="str">
        <x:v>核对统一信用代码、联系人、地址和历史记录，形成合并/保留结论</x:v>
      </x:c>
      <x:c r="I8" s="25" t="str">
        <x:v>按名称自动选择或删除客户记录</x:v>
      </x:c>
      <x:c r="J8" s="25" t="str">
        <x:v>MAT-SYN-001/客户交接清单!A9:L9</x:v>
      </x:c>
      <x:c r="K8" s="25" t="str">
        <x:v>待真实企业验证</x:v>
      </x:c>
      <x:c r="L8" s="25" t="str"/>
    </x:row>
    <x:row r="9" ht="24" hidden="0" customHeight="1">
      <x:c r="A9" s="25" t="str">
        <x:v>P0</x:v>
      </x:c>
      <x:c r="B9" s="25" t="str">
        <x:v>启明医疗</x:v>
      </x:c>
      <x:c r="C9" s="25" t="str">
        <x:v>CUST-006</x:v>
      </x:c>
      <x:c r="D9" s="25" t="str">
        <x:v>awaiting_human_confirmation</x:v>
      </x:c>
      <x:c r="E9" s="25" t="str">
        <x:v>申报归属王强与合成CRM归属赵凯不一致</x:v>
      </x:c>
      <x:c r="F9" s="25" t="str">
        <x:v>业务运营负责人（H2）</x:v>
      </x:c>
      <x:c r="G9" s="25" t="str">
        <x:v>真实系统记录与有权角色确认</x:v>
      </x:c>
      <x:c r="H9" s="25" t="str">
        <x:v>暂停并补加签真实归属人，必要时进入组织确认</x:v>
      </x:c>
      <x:c r="I9" s="25" t="str">
        <x:v>单方面修改CRM归属</x:v>
      </x:c>
      <x:c r="J9" s="25" t="str">
        <x:v>MAT-SYN-001/客户交接清单!A10:L10; MAT-SYN-002/OA-SYN-003; MAT-SYN-003/CRM-LOG-SYN-003</x:v>
      </x:c>
      <x:c r="K9" s="25" t="str">
        <x:v>待真实企业验证</x:v>
      </x:c>
      <x:c r="L9" s="25" t="str"/>
    </x:row>
    <x:row r="10" ht="24" hidden="0" customHeight="1">
      <x:c r="A10" s="25" t="str">
        <x:v>P0</x:v>
      </x:c>
      <x:c r="B10" s="25" t="str">
        <x:v>北辰能源</x:v>
      </x:c>
      <x:c r="C10" s="25" t="str">
        <x:v>CUST-007</x:v>
      </x:c>
      <x:c r="D10" s="25" t="str">
        <x:v>stopped</x:v>
      </x:c>
      <x:c r="E10" s="25" t="str">
        <x:v>归属争议尚未结案</x:v>
      </x:c>
      <x:c r="F10" s="25" t="str">
        <x:v>业务运营负责人（H2）</x:v>
      </x:c>
      <x:c r="G10" s="25" t="str">
        <x:v>真实系统记录与有权角色确认</x:v>
      </x:c>
      <x:c r="H10" s="25" t="str">
        <x:v>冻结新增转让，保留当前服务权限，等待有权角色裁决</x:v>
      </x:c>
      <x:c r="I10" s="25" t="str">
        <x:v>争议期间新增或二次分配客户</x:v>
      </x:c>
      <x:c r="J10" s="25" t="str">
        <x:v>MAT-SYN-001/客户交接清单!A11:L11; MAT-SYN-002/OA-SYN-005; MAT-SYN-003/CRM-LOG-SYN-006</x:v>
      </x:c>
      <x:c r="K10" s="25" t="str">
        <x:v>待真实企业验证</x:v>
      </x:c>
      <x:c r="L10" s="25" t="str"/>
    </x:row>
    <x:row r="11" ht="15" hidden="0" customHeight="1">
      <x:c r="A11" s="25" t="str">
        <x:v>P1</x:v>
      </x:c>
      <x:c r="B11" s="25" t="str">
        <x:v>蓝海零售</x:v>
      </x:c>
      <x:c r="C11" s="25" t="str">
        <x:v>CUST-008</x:v>
      </x:c>
      <x:c r="D11" s="25" t="str">
        <x:v>awaiting_result_evidence</x:v>
      </x:c>
      <x:c r="E11" s="25" t="str">
        <x:v>未找到可与该行唯一关联的OA及CRM逐条结果</x:v>
      </x:c>
      <x:c r="F11" s="25" t="str">
        <x:v>业务运营负责人 + CRM管理员</x:v>
      </x:c>
      <x:c r="G11" s="25" t="str">
        <x:v>对应OA单、逐条CRM结果和操作时间</x:v>
      </x:c>
      <x:c r="H11" s="25" t="str">
        <x:v>请求逐条执行回执后再确认</x:v>
      </x:c>
      <x:c r="I11" s="25" t="str">
        <x:v>把OA审批完成或笼统回复视为该客户成功</x:v>
      </x:c>
      <x:c r="J11" s="25" t="str">
        <x:v>MAT-SYN-001/客户交接清单!A12:L12</x:v>
      </x:c>
      <x:c r="K11" s="25" t="str">
        <x:v>待真实企业验证</x:v>
      </x:c>
      <x:c r="L11" s="25" t="str"/>
    </x:row>
    <x:row r="12" ht="15" hidden="0" customHeight="1">
      <x:c r="A12" s="25" t="str">
        <x:v>P1</x:v>
      </x:c>
      <x:c r="B12" s="25" t="str">
        <x:v>安泰化工</x:v>
      </x:c>
      <x:c r="C12" s="25" t="str">
        <x:v>CUST-009</x:v>
      </x:c>
      <x:c r="D12" s="25" t="str">
        <x:v>awaiting_result_evidence</x:v>
      </x:c>
      <x:c r="E12" s="25" t="str">
        <x:v>未找到可与该行唯一关联的OA及CRM逐条结果</x:v>
      </x:c>
      <x:c r="F12" s="25" t="str">
        <x:v>业务运营负责人 + CRM管理员</x:v>
      </x:c>
      <x:c r="G12" s="25" t="str">
        <x:v>对应OA单、逐条CRM结果和操作时间</x:v>
      </x:c>
      <x:c r="H12" s="25" t="str">
        <x:v>请求逐条执行回执后再确认</x:v>
      </x:c>
      <x:c r="I12" s="25" t="str">
        <x:v>把OA审批完成或笼统回复视为该客户成功</x:v>
      </x:c>
      <x:c r="J12" s="25" t="str">
        <x:v>MAT-SYN-001/客户交接清单!A13:L13</x:v>
      </x:c>
      <x:c r="K12" s="25" t="str">
        <x:v>待真实企业验证</x:v>
      </x:c>
      <x:c r="L12" s="25" t="str"/>
    </x:row>
    <x:row r="13" ht="15" hidden="0" customHeight="1">
      <x:c r="A13" s="25" t="str">
        <x:v>P1</x:v>
      </x:c>
      <x:c r="B13" s="25" t="str">
        <x:v>嘉禾食品</x:v>
      </x:c>
      <x:c r="C13" s="25" t="str">
        <x:v>CUST-010</x:v>
      </x:c>
      <x:c r="D13" s="25" t="str">
        <x:v>awaiting_result_evidence</x:v>
      </x:c>
      <x:c r="E13" s="25" t="str">
        <x:v>未找到可与该行唯一关联的OA及CRM逐条结果</x:v>
      </x:c>
      <x:c r="F13" s="25" t="str">
        <x:v>业务运营负责人 + CRM管理员</x:v>
      </x:c>
      <x:c r="G13" s="25" t="str">
        <x:v>对应OA单、逐条CRM结果和操作时间</x:v>
      </x:c>
      <x:c r="H13" s="25" t="str">
        <x:v>请求逐条执行回执后再确认</x:v>
      </x:c>
      <x:c r="I13" s="25" t="str">
        <x:v>把OA审批完成或笼统回复视为该客户成功</x:v>
      </x:c>
      <x:c r="J13" s="25" t="str">
        <x:v>MAT-SYN-001/客户交接清单!A14:L14</x:v>
      </x:c>
      <x:c r="K13" s="25" t="str">
        <x:v>待真实企业验证</x:v>
      </x:c>
      <x:c r="L13" s="25" t="str"/>
    </x:row>
    <x:row r="14" ht="24" hidden="0" customHeight="1">
      <x:c r="A14" s="25" t="str">
        <x:v>P0</x:v>
      </x:c>
      <x:c r="B14" s="25" t="str">
        <x:v>离职交接名单-02</x:v>
      </x:c>
      <x:c r="C14" s="25" t="str">
        <x:v>CUST-012</x:v>
      </x:c>
      <x:c r="D14" s="25" t="str">
        <x:v>awaiting_human_confirmation</x:v>
      </x:c>
      <x:c r="E14" s="25" t="str">
        <x:v>客户锁定导致批量更新失败</x:v>
      </x:c>
      <x:c r="F14" s="25" t="str">
        <x:v>CRM管理员 + 授权负责人</x:v>
      </x:c>
      <x:c r="G14" s="25" t="str">
        <x:v>真实系统记录与有权角色确认</x:v>
      </x:c>
      <x:c r="H14" s="25" t="str">
        <x:v>交由有权限人员复核并保留失败状态</x:v>
      </x:c>
      <x:c r="I14" s="25" t="str">
        <x:v>绕过锁定或回复整批完成</x:v>
      </x:c>
      <x:c r="J14" s="25" t="str">
        <x:v>MAT-SYN-001/客户交接清单!A16:L16; MAT-SYN-002/OA-SYN-004; MAT-SYN-003/CRM-LOG-SYN-005</x:v>
      </x:c>
      <x:c r="K14" s="25" t="str">
        <x:v>待真实企业验证</x:v>
      </x:c>
      <x:c r="L14" s="25" t="str"/>
    </x:row>
  </x:sheetData>
  <x:mergeCells>
    <x:mergeCell ref="A1:L1"/>
    <x:mergeCell ref="A2:L2"/>
  </x:mergeCells>
  <x:conditionalFormatting sqref="D5:D14">
    <x:cfRule type="containsText" dxfId="5" priority="1" operator="containsText" text="shadow_reconciled"/>
    <x:cfRule type="containsText" dxfId="6" priority="2" operator="containsText" text="awaiting"/>
    <x:cfRule type="containsText" dxfId="7" priority="3" operator="containsText" text="validation_failed"/>
    <x:cfRule type="containsText" dxfId="8" priority="4" operator="containsText" text="stopped"/>
  </x:conditionalFormatting>
  <x:dataValidations count="1">
    <x:dataValidation type="list" sqref="K5:K14">
      <x:formula1>"待真实企业验证,已确认,不适用,拒绝确认"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5" hidden="0" customWidth="1"/>
    <x:col min="4" max="4" width="13" hidden="0" customWidth="1"/>
    <x:col min="5" max="5" width="12" hidden="0" customWidth="1"/>
    <x:col min="6" max="6" width="14" hidden="0" customWidth="1"/>
    <x:col min="7" max="7" width="14" hidden="0" customWidth="1"/>
    <x:col min="8" max="8" width="18" hidden="0" customWidth="1"/>
    <x:col min="9" max="9" width="22" hidden="0" customWidth="1"/>
    <x:col min="10" max="10" width="26" hidden="0" customWidth="1"/>
    <x:col min="11" max="11" width="16" hidden="0" customWidth="1"/>
    <x:col min="12" max="12" width="14" hidden="0" customWidth="1"/>
    <x:col min="13" max="13" width="48" hidden="0" customWidth="1"/>
  </x:cols>
  <x:sheetData>
    <x:row r="1" ht="19.200000762939453" hidden="0" customHeight="1">
      <x:c r="A1" s="4" t="str">
        <x:v>唯一有效影子执行清单</x:v>
      </x:c>
      <x:c r="B1" s="4" t="str">
        <x:v>唯一有效影子执行清单</x:v>
      </x:c>
      <x:c r="C1" s="4" t="str">
        <x:v>唯一有效影子执行清单</x:v>
      </x:c>
      <x:c r="D1" s="4" t="str">
        <x:v>唯一有效影子执行清单</x:v>
      </x:c>
      <x:c r="E1" s="4" t="str">
        <x:v>唯一有效影子执行清单</x:v>
      </x:c>
      <x:c r="F1" s="4" t="str">
        <x:v>唯一有效影子执行清单</x:v>
      </x:c>
      <x:c r="G1" s="4" t="str">
        <x:v>唯一有效影子执行清单</x:v>
      </x:c>
      <x:c r="H1" s="4" t="str">
        <x:v>唯一有效影子执行清单</x:v>
      </x:c>
      <x:c r="I1" s="4" t="str">
        <x:v>唯一有效影子执行清单</x:v>
      </x:c>
      <x:c r="J1" s="4" t="str">
        <x:v>唯一有效影子执行清单</x:v>
      </x:c>
      <x:c r="K1" s="4" t="str">
        <x:v>唯一有效影子执行清单</x:v>
      </x:c>
      <x:c r="L1" s="4" t="str">
        <x:v>唯一有效影子执行清单</x:v>
      </x:c>
      <x:c r="M1" s="4" t="str">
        <x:v>唯一有效影子执行清单</x:v>
      </x:c>
    </x:row>
    <x:row r="2" ht="15" hidden="0" customHeight="1">
      <x:c r="A2" s="8" t="str">
        <x:v>E5 AI模拟，待真实企业验证。本清单仅用于对账重放，不是生产变更指令，执行许可固定为“否”。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/>
    <x:row r="4" ht="15" hidden="0" customHeight="1">
      <x:c r="A4" s="17" t="str">
        <x:v>影子批次</x:v>
      </x:c>
      <x:c r="B4" s="33" t="str">
        <x:v>客户</x:v>
      </x:c>
      <x:c r="C4" s="33" t="str">
        <x:v>客户编号</x:v>
      </x:c>
      <x:c r="D4" s="33" t="str">
        <x:v>申报归属</x:v>
      </x:c>
      <x:c r="E4" s="33" t="str">
        <x:v>接手销售</x:v>
      </x:c>
      <x:c r="F4" s="33" t="str">
        <x:v>交接事由</x:v>
      </x:c>
      <x:c r="G4" s="33" t="str">
        <x:v>有效版本</x:v>
      </x:c>
      <x:c r="H4" s="33" t="str">
        <x:v>内容哈希片段</x:v>
      </x:c>
      <x:c r="I4" s="33" t="str">
        <x:v>准入依据</x:v>
      </x:c>
      <x:c r="J4" s="33" t="str">
        <x:v>影子动作</x:v>
      </x:c>
      <x:c r="K4" s="33" t="str">
        <x:v>生产执行许可</x:v>
      </x:c>
      <x:c r="L4" s="33" t="str">
        <x:v>影子结果</x:v>
      </x:c>
      <x:c r="M4" s="18" t="str">
        <x:v>来源</x:v>
      </x:c>
    </x:row>
    <x:row r="5" ht="24" hidden="0" customHeight="1">
      <x:c r="A5" s="24" t="str">
        <x:v>SHADOW-20260816-001</x:v>
      </x:c>
      <x:c r="B5" s="24" t="str">
        <x:v>星河制造</x:v>
      </x:c>
      <x:c r="C5" s="24" t="str">
        <x:v>CUST-001</x:v>
      </x:c>
      <x:c r="D5" s="24" t="str">
        <x:v>张敏</x:v>
      </x:c>
      <x:c r="E5" s="24" t="str">
        <x:v>李浩</x:v>
      </x:c>
      <x:c r="F5" s="24" t="str">
        <x:v>协同拜访</x:v>
      </x:c>
      <x:c r="G5" s="24" t="str">
        <x:v>synthetic-v1</x:v>
      </x:c>
      <x:c r="H5" s="24" t="str">
        <x:v>见审计与规则</x:v>
      </x:c>
      <x:c r="I5" s="24" t="str">
        <x:v>shadow_reconciled</x:v>
      </x:c>
      <x:c r="J5" s="24" t="str">
        <x:v>只读重放并生成对账回执</x:v>
      </x:c>
      <x:c r="K5" s="40" t="str">
        <x:v>否</x:v>
      </x:c>
      <x:c r="L5" s="24" t="str">
        <x:v>已对账</x:v>
      </x:c>
      <x:c r="M5" s="24" t="str">
        <x:v>MAT-SYN-001/客户交接清单!A5:L5; MAT-SYN-002/OA-SYN-001; MAT-SYN-003/CRM-LOG-SYN-001</x:v>
      </x:c>
    </x:row>
    <x:row r="6" ht="24" hidden="0" customHeight="1">
      <x:c r="A6" s="25" t="str">
        <x:v>SHADOW-20260816-001</x:v>
      </x:c>
      <x:c r="B6" s="25" t="str">
        <x:v>离职交接名单-01</x:v>
      </x:c>
      <x:c r="C6" s="25" t="str">
        <x:v>CUST-011</x:v>
      </x:c>
      <x:c r="D6" s="25" t="str">
        <x:v>王强</x:v>
      </x:c>
      <x:c r="E6" s="25" t="str">
        <x:v>陈璐</x:v>
      </x:c>
      <x:c r="F6" s="25" t="str">
        <x:v>离职交接</x:v>
      </x:c>
      <x:c r="G6" s="25" t="str">
        <x:v>synthetic-v1</x:v>
      </x:c>
      <x:c r="H6" s="25" t="str">
        <x:v>见审计与规则</x:v>
      </x:c>
      <x:c r="I6" s="25" t="str">
        <x:v>shadow_reconciled</x:v>
      </x:c>
      <x:c r="J6" s="25" t="str">
        <x:v>只读重放并生成对账回执</x:v>
      </x:c>
      <x:c r="K6" s="41" t="str">
        <x:v>否</x:v>
      </x:c>
      <x:c r="L6" s="25" t="str">
        <x:v>已对账</x:v>
      </x:c>
      <x:c r="M6" s="25" t="str">
        <x:v>MAT-SYN-001/客户交接清单!A15:L15; MAT-SYN-002/OA-SYN-004; MAT-SYN-003/CRM-LOG-SYN-004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5" hidden="0" customWidth="1"/>
    <x:col min="4" max="4" width="25" hidden="0" customWidth="1"/>
    <x:col min="5" max="5" width="14" hidden="0" customWidth="1"/>
    <x:col min="6" max="6" width="18" hidden="0" customWidth="1"/>
    <x:col min="7" max="7" width="34" hidden="0" customWidth="1"/>
    <x:col min="8" max="8" width="24" hidden="0" customWidth="1"/>
    <x:col min="9" max="9" width="14" hidden="0" customWidth="1"/>
    <x:col min="10" max="10" width="48" hidden="0" customWidth="1"/>
    <x:col min="11" max="11" width="30" hidden="0" customWidth="1"/>
  </x:cols>
  <x:sheetData>
    <x:row r="1" ht="19.200000762939453" hidden="0" customHeight="1">
      <x:c r="A1" s="4" t="str">
        <x:v>逐客户影子结果回执</x:v>
      </x:c>
      <x:c r="B1" s="4" t="str">
        <x:v>逐客户影子结果回执</x:v>
      </x:c>
      <x:c r="C1" s="4" t="str">
        <x:v>逐客户影子结果回执</x:v>
      </x:c>
      <x:c r="D1" s="4" t="str">
        <x:v>逐客户影子结果回执</x:v>
      </x:c>
      <x:c r="E1" s="4" t="str">
        <x:v>逐客户影子结果回执</x:v>
      </x:c>
      <x:c r="F1" s="4" t="str">
        <x:v>逐客户影子结果回执</x:v>
      </x:c>
      <x:c r="G1" s="4" t="str">
        <x:v>逐客户影子结果回执</x:v>
      </x:c>
      <x:c r="H1" s="4" t="str">
        <x:v>逐客户影子结果回执</x:v>
      </x:c>
      <x:c r="I1" s="4" t="str">
        <x:v>逐客户影子结果回执</x:v>
      </x:c>
      <x:c r="J1" s="4" t="str">
        <x:v>逐客户影子结果回执</x:v>
      </x:c>
      <x:c r="K1" s="4" t="str">
        <x:v>逐客户影子结果回执</x:v>
      </x:c>
    </x:row>
    <x:row r="2" ht="15" hidden="0" customHeight="1">
      <x:c r="A2" s="8" t="str">
        <x:v>E5 AI模拟，待真实企业验证。回执覆盖全部12行，避免用一句“已完成”替代逐条结果。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/>
    <x:row r="4" ht="15" hidden="0" customHeight="1">
      <x:c r="A4" s="17" t="str">
        <x:v>序号</x:v>
      </x:c>
      <x:c r="B4" s="33" t="str">
        <x:v>客户</x:v>
      </x:c>
      <x:c r="C4" s="33" t="str">
        <x:v>客户编号</x:v>
      </x:c>
      <x:c r="D4" s="33" t="str">
        <x:v>影子状态</x:v>
      </x:c>
      <x:c r="E4" s="33" t="str">
        <x:v>结果类别</x:v>
      </x:c>
      <x:c r="F4" s="33" t="str">
        <x:v>错误码</x:v>
      </x:c>
      <x:c r="G4" s="33" t="str">
        <x:v>下一动作</x:v>
      </x:c>
      <x:c r="H4" s="33" t="str">
        <x:v>责任人</x:v>
      </x:c>
      <x:c r="I4" s="33" t="str">
        <x:v>生产写回</x:v>
      </x:c>
      <x:c r="J4" s="33" t="str">
        <x:v>证据定位</x:v>
      </x:c>
      <x:c r="K4" s="18" t="str">
        <x:v>备注</x:v>
      </x:c>
    </x:row>
    <x:row r="5" ht="24" hidden="0" customHeight="1">
      <x:c r="A5" s="24" t="n">
        <x:v>1</x:v>
      </x:c>
      <x:c r="B5" s="24" t="str">
        <x:v>星河制造</x:v>
      </x:c>
      <x:c r="C5" s="24" t="str">
        <x:v>CUST-001</x:v>
      </x:c>
      <x:c r="D5" s="24" t="str">
        <x:v>shadow_reconciled</x:v>
      </x:c>
      <x:c r="E5" s="24" t="str">
        <x:v>已对账</x:v>
      </x:c>
      <x:c r="F5" s="24" t="str"/>
      <x:c r="G5" s="24" t="str">
        <x:v>纳入影子对账样本，不执行任何生产写回</x:v>
      </x:c>
      <x:c r="H5" s="24" t="str">
        <x:v>业务复核者</x:v>
      </x:c>
      <x:c r="I5" s="40" t="str">
        <x:v>否</x:v>
      </x:c>
      <x:c r="J5" s="24" t="str">
        <x:v>MAT-SYN-001/客户交接清单!A5:L5; MAT-SYN-002/OA-SYN-001; MAT-SYN-003/CRM-LOG-SYN-001</x:v>
      </x:c>
      <x:c r="K5" s="24" t="str">
        <x:v>无；合成日志存在逐条成功记录</x:v>
      </x:c>
    </x:row>
    <x:row r="6" ht="24" hidden="0" customHeight="1">
      <x:c r="A6" s="25" t="n">
        <x:v>2</x:v>
      </x:c>
      <x:c r="B6" s="25" t="str">
        <x:v>远航科技</x:v>
      </x:c>
      <x:c r="C6" s="25" t="str">
        <x:v>CUST-002</x:v>
      </x:c>
      <x:c r="D6" s="25" t="str">
        <x:v>awaiting_result_evidence</x:v>
      </x:c>
      <x:c r="E6" s="25" t="str">
        <x:v>待处理</x:v>
      </x:c>
      <x:c r="F6" s="25" t="str"/>
      <x:c r="G6" s="25" t="str">
        <x:v>请求逐条执行回执后再确认</x:v>
      </x:c>
      <x:c r="H6" s="25" t="str">
        <x:v>业务运营负责人 + CRM管理员</x:v>
      </x:c>
      <x:c r="I6" s="41" t="str">
        <x:v>否</x:v>
      </x:c>
      <x:c r="J6" s="25" t="str">
        <x:v>MAT-SYN-001/客户交接清单!A6:L6</x:v>
      </x:c>
      <x:c r="K6" s="25" t="str">
        <x:v>未找到可与该行唯一关联的OA及CRM逐条结果</x:v>
      </x:c>
    </x:row>
    <x:row r="7" ht="24" hidden="0" customHeight="1">
      <x:c r="A7" s="25" t="n">
        <x:v>3</x:v>
      </x:c>
      <x:c r="B7" s="25" t="str">
        <x:v>新源物流</x:v>
      </x:c>
      <x:c r="C7" s="25" t="str"/>
      <x:c r="D7" s="25" t="str">
        <x:v>validation_failed</x:v>
      </x:c>
      <x:c r="E7" s="25" t="str">
        <x:v>待处理</x:v>
      </x:c>
      <x:c r="F7" s="25" t="str">
        <x:v>CUSTOMER_NOT_FOUND</x:v>
      </x:c>
      <x:c r="G7" s="25" t="str">
        <x:v>退回补充稳定编号或由有权人员人工核对</x:v>
      </x:c>
      <x:c r="H7" s="25" t="str">
        <x:v>申请销售 + CRM管理员</x:v>
      </x:c>
      <x:c r="I7" s="41" t="str">
        <x:v>否</x:v>
      </x:c>
      <x:c r="J7" s="25" t="str">
        <x:v>MAT-SYN-001/客户交接清单!A7:L7; MAT-SYN-002/OA-SYN-002; MAT-SYN-003/CRM-LOG-SYN-002</x:v>
      </x:c>
      <x:c r="K7" s="25" t="str">
        <x:v>CRM客户唯一编号缺失；合成日志显示客户无法匹配</x:v>
      </x:c>
    </x:row>
    <x:row r="8" ht="24" hidden="0" customHeight="1">
      <x:c r="A8" s="25" t="n">
        <x:v>4</x:v>
      </x:c>
      <x:c r="B8" s="25" t="str">
        <x:v>华南科技</x:v>
      </x:c>
      <x:c r="C8" s="25" t="str">
        <x:v>CUST-004A</x:v>
      </x:c>
      <x:c r="D8" s="25" t="str">
        <x:v>awaiting_human_confirmation</x:v>
      </x:c>
      <x:c r="E8" s="25" t="str">
        <x:v>待处理</x:v>
      </x:c>
      <x:c r="F8" s="25" t="str"/>
      <x:c r="G8" s="25" t="str">
        <x:v>核对统一信用代码、联系人、地址和历史记录，形成合并/保留结论</x:v>
      </x:c>
      <x:c r="H8" s="25" t="str">
        <x:v>业务运营负责人 + CRM管理员</x:v>
      </x:c>
      <x:c r="I8" s="41" t="str">
        <x:v>否</x:v>
      </x:c>
      <x:c r="J8" s="25" t="str">
        <x:v>MAT-SYN-001/客户交接清单!A8:L8</x:v>
      </x:c>
      <x:c r="K8" s="25" t="str">
        <x:v>同名客户存在多个CRM编号</x:v>
      </x:c>
    </x:row>
    <x:row r="9" ht="24" hidden="0" customHeight="1">
      <x:c r="A9" s="25" t="n">
        <x:v>5</x:v>
      </x:c>
      <x:c r="B9" s="25" t="str">
        <x:v>华南科技</x:v>
      </x:c>
      <x:c r="C9" s="25" t="str">
        <x:v>CUST-004B</x:v>
      </x:c>
      <x:c r="D9" s="25" t="str">
        <x:v>awaiting_human_confirmation</x:v>
      </x:c>
      <x:c r="E9" s="25" t="str">
        <x:v>待处理</x:v>
      </x:c>
      <x:c r="F9" s="25" t="str"/>
      <x:c r="G9" s="25" t="str">
        <x:v>核对统一信用代码、联系人、地址和历史记录，形成合并/保留结论</x:v>
      </x:c>
      <x:c r="H9" s="25" t="str">
        <x:v>业务运营负责人 + CRM管理员</x:v>
      </x:c>
      <x:c r="I9" s="41" t="str">
        <x:v>否</x:v>
      </x:c>
      <x:c r="J9" s="25" t="str">
        <x:v>MAT-SYN-001/客户交接清单!A9:L9</x:v>
      </x:c>
      <x:c r="K9" s="25" t="str">
        <x:v>同名客户存在多个CRM编号</x:v>
      </x:c>
    </x:row>
    <x:row r="10" ht="24" hidden="0" customHeight="1">
      <x:c r="A10" s="25" t="n">
        <x:v>6</x:v>
      </x:c>
      <x:c r="B10" s="25" t="str">
        <x:v>启明医疗</x:v>
      </x:c>
      <x:c r="C10" s="25" t="str">
        <x:v>CUST-006</x:v>
      </x:c>
      <x:c r="D10" s="25" t="str">
        <x:v>awaiting_human_confirmation</x:v>
      </x:c>
      <x:c r="E10" s="25" t="str">
        <x:v>待处理</x:v>
      </x:c>
      <x:c r="F10" s="25" t="str">
        <x:v>OWNER_MISMATCH</x:v>
      </x:c>
      <x:c r="G10" s="25" t="str">
        <x:v>暂停并补加签真实归属人，必要时进入组织确认</x:v>
      </x:c>
      <x:c r="H10" s="25" t="str">
        <x:v>业务运营负责人（H2）</x:v>
      </x:c>
      <x:c r="I10" s="41" t="str">
        <x:v>否</x:v>
      </x:c>
      <x:c r="J10" s="25" t="str">
        <x:v>MAT-SYN-001/客户交接清单!A10:L10; MAT-SYN-002/OA-SYN-003; MAT-SYN-003/CRM-LOG-SYN-003</x:v>
      </x:c>
      <x:c r="K10" s="25" t="str">
        <x:v>申报归属王强与合成CRM归属赵凯不一致</x:v>
      </x:c>
    </x:row>
    <x:row r="11" ht="24" hidden="0" customHeight="1">
      <x:c r="A11" s="25" t="n">
        <x:v>7</x:v>
      </x:c>
      <x:c r="B11" s="25" t="str">
        <x:v>北辰能源</x:v>
      </x:c>
      <x:c r="C11" s="25" t="str">
        <x:v>CUST-007</x:v>
      </x:c>
      <x:c r="D11" s="25" t="str">
        <x:v>stopped</x:v>
      </x:c>
      <x:c r="E11" s="25" t="str">
        <x:v>已暂停</x:v>
      </x:c>
      <x:c r="F11" s="25" t="str">
        <x:v>DISPUTE_OPEN</x:v>
      </x:c>
      <x:c r="G11" s="25" t="str">
        <x:v>冻结新增转让，保留当前服务权限，等待有权角色裁决</x:v>
      </x:c>
      <x:c r="H11" s="25" t="str">
        <x:v>业务运营负责人（H2）</x:v>
      </x:c>
      <x:c r="I11" s="41" t="str">
        <x:v>否</x:v>
      </x:c>
      <x:c r="J11" s="25" t="str">
        <x:v>MAT-SYN-001/客户交接清单!A11:L11; MAT-SYN-002/OA-SYN-005; MAT-SYN-003/CRM-LOG-SYN-006</x:v>
      </x:c>
      <x:c r="K11" s="25" t="str">
        <x:v>归属争议尚未结案</x:v>
      </x:c>
    </x:row>
    <x:row r="12" ht="24" hidden="0" customHeight="1">
      <x:c r="A12" s="25" t="n">
        <x:v>8</x:v>
      </x:c>
      <x:c r="B12" s="25" t="str">
        <x:v>蓝海零售</x:v>
      </x:c>
      <x:c r="C12" s="25" t="str">
        <x:v>CUST-008</x:v>
      </x:c>
      <x:c r="D12" s="25" t="str">
        <x:v>awaiting_result_evidence</x:v>
      </x:c>
      <x:c r="E12" s="25" t="str">
        <x:v>待处理</x:v>
      </x:c>
      <x:c r="F12" s="25" t="str"/>
      <x:c r="G12" s="25" t="str">
        <x:v>请求逐条执行回执后再确认</x:v>
      </x:c>
      <x:c r="H12" s="25" t="str">
        <x:v>业务运营负责人 + CRM管理员</x:v>
      </x:c>
      <x:c r="I12" s="41" t="str">
        <x:v>否</x:v>
      </x:c>
      <x:c r="J12" s="25" t="str">
        <x:v>MAT-SYN-001/客户交接清单!A12:L12</x:v>
      </x:c>
      <x:c r="K12" s="25" t="str">
        <x:v>未找到可与该行唯一关联的OA及CRM逐条结果</x:v>
      </x:c>
    </x:row>
    <x:row r="13" ht="24" hidden="0" customHeight="1">
      <x:c r="A13" s="25" t="n">
        <x:v>9</x:v>
      </x:c>
      <x:c r="B13" s="25" t="str">
        <x:v>安泰化工</x:v>
      </x:c>
      <x:c r="C13" s="25" t="str">
        <x:v>CUST-009</x:v>
      </x:c>
      <x:c r="D13" s="25" t="str">
        <x:v>awaiting_result_evidence</x:v>
      </x:c>
      <x:c r="E13" s="25" t="str">
        <x:v>待处理</x:v>
      </x:c>
      <x:c r="F13" s="25" t="str"/>
      <x:c r="G13" s="25" t="str">
        <x:v>请求逐条执行回执后再确认</x:v>
      </x:c>
      <x:c r="H13" s="25" t="str">
        <x:v>业务运营负责人 + CRM管理员</x:v>
      </x:c>
      <x:c r="I13" s="41" t="str">
        <x:v>否</x:v>
      </x:c>
      <x:c r="J13" s="25" t="str">
        <x:v>MAT-SYN-001/客户交接清单!A13:L13</x:v>
      </x:c>
      <x:c r="K13" s="25" t="str">
        <x:v>未找到可与该行唯一关联的OA及CRM逐条结果</x:v>
      </x:c>
    </x:row>
    <x:row r="14" ht="24" hidden="0" customHeight="1">
      <x:c r="A14" s="25" t="n">
        <x:v>10</x:v>
      </x:c>
      <x:c r="B14" s="25" t="str">
        <x:v>嘉禾食品</x:v>
      </x:c>
      <x:c r="C14" s="25" t="str">
        <x:v>CUST-010</x:v>
      </x:c>
      <x:c r="D14" s="25" t="str">
        <x:v>awaiting_result_evidence</x:v>
      </x:c>
      <x:c r="E14" s="25" t="str">
        <x:v>待处理</x:v>
      </x:c>
      <x:c r="F14" s="25" t="str"/>
      <x:c r="G14" s="25" t="str">
        <x:v>请求逐条执行回执后再确认</x:v>
      </x:c>
      <x:c r="H14" s="25" t="str">
        <x:v>业务运营负责人 + CRM管理员</x:v>
      </x:c>
      <x:c r="I14" s="41" t="str">
        <x:v>否</x:v>
      </x:c>
      <x:c r="J14" s="25" t="str">
        <x:v>MAT-SYN-001/客户交接清单!A14:L14</x:v>
      </x:c>
      <x:c r="K14" s="25" t="str">
        <x:v>未找到可与该行唯一关联的OA及CRM逐条结果</x:v>
      </x:c>
    </x:row>
    <x:row r="15" ht="24" hidden="0" customHeight="1">
      <x:c r="A15" s="25" t="n">
        <x:v>11</x:v>
      </x:c>
      <x:c r="B15" s="25" t="str">
        <x:v>离职交接名单-01</x:v>
      </x:c>
      <x:c r="C15" s="25" t="str">
        <x:v>CUST-011</x:v>
      </x:c>
      <x:c r="D15" s="25" t="str">
        <x:v>shadow_reconciled</x:v>
      </x:c>
      <x:c r="E15" s="25" t="str">
        <x:v>已对账</x:v>
      </x:c>
      <x:c r="F15" s="25" t="str"/>
      <x:c r="G15" s="25" t="str">
        <x:v>纳入影子对账样本，不执行任何生产写回</x:v>
      </x:c>
      <x:c r="H15" s="25" t="str">
        <x:v>业务复核者</x:v>
      </x:c>
      <x:c r="I15" s="41" t="str">
        <x:v>否</x:v>
      </x:c>
      <x:c r="J15" s="25" t="str">
        <x:v>MAT-SYN-001/客户交接清单!A15:L15; MAT-SYN-002/OA-SYN-004; MAT-SYN-003/CRM-LOG-SYN-004</x:v>
      </x:c>
      <x:c r="K15" s="25" t="str">
        <x:v>无；合成日志存在逐条成功记录</x:v>
      </x:c>
    </x:row>
    <x:row r="16" ht="24" hidden="0" customHeight="1">
      <x:c r="A16" s="25" t="n">
        <x:v>12</x:v>
      </x:c>
      <x:c r="B16" s="25" t="str">
        <x:v>离职交接名单-02</x:v>
      </x:c>
      <x:c r="C16" s="25" t="str">
        <x:v>CUST-012</x:v>
      </x:c>
      <x:c r="D16" s="25" t="str">
        <x:v>awaiting_human_confirmation</x:v>
      </x:c>
      <x:c r="E16" s="25" t="str">
        <x:v>待处理</x:v>
      </x:c>
      <x:c r="F16" s="25" t="str">
        <x:v>CUSTOMER_LOCKED</x:v>
      </x:c>
      <x:c r="G16" s="25" t="str">
        <x:v>交由有权限人员复核并保留失败状态</x:v>
      </x:c>
      <x:c r="H16" s="25" t="str">
        <x:v>CRM管理员 + 授权负责人</x:v>
      </x:c>
      <x:c r="I16" s="41" t="str">
        <x:v>否</x:v>
      </x:c>
      <x:c r="J16" s="25" t="str">
        <x:v>MAT-SYN-001/客户交接清单!A16:L16; MAT-SYN-002/OA-SYN-004; MAT-SYN-003/CRM-LOG-SYN-005</x:v>
      </x:c>
      <x:c r="K16" s="25" t="str">
        <x:v>客户锁定导致批量更新失败</x:v>
      </x:c>
    </x:row>
  </x:sheetData>
  <x:mergeCells>
    <x:mergeCell ref="A1:K1"/>
    <x:mergeCell ref="A2:K2"/>
  </x:mergeCells>
  <x:conditionalFormatting sqref="D5:D16">
    <x:cfRule type="containsText" dxfId="9" priority="1" operator="containsText" text="shadow_reconciled"/>
    <x:cfRule type="containsText" dxfId="10" priority="2" operator="containsText" text="awaiting"/>
    <x:cfRule type="containsText" dxfId="11" priority="3" operator="containsText" text="validation_failed"/>
    <x:cfRule type="containsText" dxfId="12" priority="4" operator="containsText" text="stopp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4" hidden="0" customWidth="1"/>
    <x:col min="5" max="5" width="24" hidden="0" customWidth="1"/>
    <x:col min="6" max="6" width="38" hidden="0" customWidth="1"/>
    <x:col min="7" max="7" width="34" hidden="0" customWidth="1"/>
    <x:col min="8" max="8" width="20" hidden="0" customWidth="1"/>
    <x:col min="9" max="9" width="15" hidden="0" customWidth="1"/>
    <x:col min="10" max="10" width="14" hidden="0" customWidth="1"/>
    <x:col min="11" max="11" width="18" hidden="0" customWidth="1"/>
  </x:cols>
  <x:sheetData>
    <x:row r="1" ht="19.200000762939453" hidden="0" customHeight="1">
      <x:c r="A1" s="4" t="str">
        <x:v>人工回滚草稿（不执行）</x:v>
      </x:c>
      <x:c r="B1" s="4" t="str">
        <x:v>人工回滚草稿（不执行）</x:v>
      </x:c>
      <x:c r="C1" s="4" t="str">
        <x:v>人工回滚草稿（不执行）</x:v>
      </x:c>
      <x:c r="D1" s="4" t="str">
        <x:v>人工回滚草稿（不执行）</x:v>
      </x:c>
      <x:c r="E1" s="4" t="str">
        <x:v>人工回滚草稿（不执行）</x:v>
      </x:c>
      <x:c r="F1" s="4" t="str">
        <x:v>人工回滚草稿（不执行）</x:v>
      </x:c>
      <x:c r="G1" s="4" t="str">
        <x:v>人工回滚草稿（不执行）</x:v>
      </x:c>
      <x:c r="H1" s="4" t="str">
        <x:v>人工回滚草稿（不执行）</x:v>
      </x:c>
      <x:c r="I1" s="4" t="str">
        <x:v>人工回滚草稿（不执行）</x:v>
      </x:c>
      <x:c r="J1" s="4" t="str">
        <x:v>人工回滚草稿（不执行）</x:v>
      </x:c>
      <x:c r="K1" s="4" t="str">
        <x:v>人工回滚草稿（不执行）</x:v>
      </x:c>
    </x:row>
    <x:row r="2" ht="15" hidden="0" customHeight="1">
      <x:c r="A2" s="8" t="str">
        <x:v>E5 AI模拟，待真实企业验证。只为验证能否还原变更前状态；不是回滚命令，不连接生产CRM。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/>
    <x:row r="4" ht="15" hidden="0" customHeight="1">
      <x:c r="A4" s="17" t="str">
        <x:v>客户</x:v>
      </x:c>
      <x:c r="B4" s="33" t="str">
        <x:v>客户编号</x:v>
      </x:c>
      <x:c r="C4" s="33" t="str">
        <x:v>原值</x:v>
      </x:c>
      <x:c r="D4" s="33" t="str">
        <x:v>影子变更值</x:v>
      </x:c>
      <x:c r="E4" s="33" t="str">
        <x:v>操作类型</x:v>
      </x:c>
      <x:c r="F4" s="33" t="str">
        <x:v>回滚草稿</x:v>
      </x:c>
      <x:c r="G4" s="33" t="str">
        <x:v>触发条件</x:v>
      </x:c>
      <x:c r="H4" s="33" t="str">
        <x:v>批准人</x:v>
      </x:c>
      <x:c r="I4" s="33" t="str">
        <x:v>执行人</x:v>
      </x:c>
      <x:c r="J4" s="33" t="str">
        <x:v>执行许可</x:v>
      </x:c>
      <x:c r="K4" s="18" t="str">
        <x:v>来源日志</x:v>
      </x:c>
    </x:row>
    <x:row r="5" ht="15" hidden="0" customHeight="1">
      <x:c r="A5" s="24" t="str">
        <x:v>星河制造</x:v>
      </x:c>
      <x:c r="B5" s="24" t="str">
        <x:v>CUST-001</x:v>
      </x:c>
      <x:c r="C5" s="24" t="str">
        <x:v>张敏</x:v>
      </x:c>
      <x:c r="D5" s="24" t="str">
        <x:v>李浩</x:v>
      </x:c>
      <x:c r="E5" s="24" t="str">
        <x:v>add_visit_authorization</x:v>
      </x:c>
      <x:c r="F5" s="24" t="str">
        <x:v>撤销李浩的合成拜访权限并恢复原状态</x:v>
      </x:c>
      <x:c r="G5" s="24" t="str">
        <x:v>仅当影子对账发现结果不符合已确认规则</x:v>
      </x:c>
      <x:c r="H5" s="24" t="str">
        <x:v>有权业务负责人</x:v>
      </x:c>
      <x:c r="I5" s="24" t="str">
        <x:v>CRM管理员</x:v>
      </x:c>
      <x:c r="J5" s="40" t="str">
        <x:v>否</x:v>
      </x:c>
      <x:c r="K5" s="24" t="str">
        <x:v>CRM-LOG-SYN-001</x:v>
      </x:c>
    </x:row>
    <x:row r="6" ht="15" hidden="0" customHeight="1">
      <x:c r="A6" s="25" t="str">
        <x:v>离职交接名单-01</x:v>
      </x:c>
      <x:c r="B6" s="25" t="str">
        <x:v>CUST-011</x:v>
      </x:c>
      <x:c r="C6" s="25" t="str">
        <x:v>王强</x:v>
      </x:c>
      <x:c r="D6" s="25" t="str">
        <x:v>陈璐</x:v>
      </x:c>
      <x:c r="E6" s="25" t="str">
        <x:v>batch_owner_update</x:v>
      </x:c>
      <x:c r="F6" s="25" t="str">
        <x:v>将合成归属从陈璐改回王强</x:v>
      </x:c>
      <x:c r="G6" s="25" t="str">
        <x:v>仅当影子对账发现结果不符合已确认规则</x:v>
      </x:c>
      <x:c r="H6" s="25" t="str">
        <x:v>有权业务负责人</x:v>
      </x:c>
      <x:c r="I6" s="25" t="str">
        <x:v>CRM管理员</x:v>
      </x:c>
      <x:c r="J6" s="41" t="str">
        <x:v>否</x:v>
      </x:c>
      <x:c r="K6" s="25" t="str">
        <x:v>CRM-LOG-SYN-004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24" hidden="0" customWidth="1"/>
    <x:col min="5" max="5" width="34" hidden="0" customWidth="1"/>
    <x:col min="6" max="6" width="18" hidden="0" customWidth="1"/>
    <x:col min="7" max="7" width="13" hidden="0" customWidth="1"/>
    <x:col min="8" max="8" width="22" hidden="0" customWidth="1"/>
  </x:cols>
  <x:sheetData>
    <x:row r="1" ht="19.200000762939453" hidden="0" customHeight="1">
      <x:c r="A1" s="4" t="str">
        <x:v>输入哈希、规则版本与审计边界</x:v>
      </x:c>
      <x:c r="B1" s="4" t="str">
        <x:v>输入哈希、规则版本与审计边界</x:v>
      </x:c>
      <x:c r="C1" s="4" t="str">
        <x:v>输入哈希、规则版本与审计边界</x:v>
      </x:c>
      <x:c r="D1" s="4" t="str">
        <x:v>输入哈希、规则版本与审计边界</x:v>
      </x:c>
      <x:c r="E1" s="4" t="str">
        <x:v>输入哈希、规则版本与审计边界</x:v>
      </x:c>
      <x:c r="F1" s="4" t="str">
        <x:v>输入哈希、规则版本与审计边界</x:v>
      </x:c>
      <x:c r="G1" s="4" t="str">
        <x:v>输入哈希、规则版本与审计边界</x:v>
      </x:c>
      <x:c r="H1" s="4" t="str">
        <x:v>输入哈希、规则版本与审计边界</x:v>
      </x:c>
    </x:row>
    <x:row r="2" ht="15" hidden="0" customHeight="1">
      <x:c r="A2" s="8" t="str">
        <x:v>E5 AI模拟，待真实企业验证。输入哈希只识别字节一致文件，不证明业务内容真实或有效。</x:v>
      </x:c>
      <x:c r="B2" s="8"/>
      <x:c r="C2" s="8"/>
      <x:c r="D2" s="8"/>
      <x:c r="E2" s="8"/>
      <x:c r="F2" s="8"/>
      <x:c r="G2" s="8"/>
      <x:c r="H2" s="8"/>
    </x:row>
    <x:row r="3"/>
    <x:row r="4" ht="15" hidden="0" customHeight="1">
      <x:c r="A4" s="17" t="str">
        <x:v>输入文件</x:v>
      </x:c>
      <x:c r="B4" s="33" t="str">
        <x:v>SHA-256</x:v>
      </x:c>
      <x:c r="C4" s="33" t="str">
        <x:v>用途</x:v>
      </x:c>
      <x:c r="D4" s="18" t="str">
        <x:v>授权状态</x:v>
      </x:c>
    </x:row>
    <x:row r="5" ht="15" hidden="0" customHeight="1">
      <x:c r="A5" s="24" t="str">
        <x:v>crm-customer-handover-list.xlsx</x:v>
      </x:c>
      <x:c r="B5" s="24" t="str">
        <x:v>280089e5719ce2c49d3f36354fe8d507fea10f0846a89bfecb1bdc55f5c2246d</x:v>
      </x:c>
      <x:c r="C5" s="24" t="str">
        <x:v>合成影子试点输入</x:v>
      </x:c>
      <x:c r="D5" s="24" t="str">
        <x:v>simulation_only</x:v>
      </x:c>
    </x:row>
    <x:row r="6" ht="15" hidden="0" customHeight="1">
      <x:c r="A6" s="25" t="str">
        <x:v>oa-approval-export.csv</x:v>
      </x:c>
      <x:c r="B6" s="25" t="str">
        <x:v>cbd5b6534de3b4e78e45bec0f32402046944a39d3d8890b297fe05b9d1ab0f58</x:v>
      </x:c>
      <x:c r="C6" s="25" t="str">
        <x:v>合成影子试点输入</x:v>
      </x:c>
      <x:c r="D6" s="25" t="str">
        <x:v>simulation_only</x:v>
      </x:c>
    </x:row>
    <x:row r="7" ht="15" hidden="0" customHeight="1">
      <x:c r="A7" s="25" t="str">
        <x:v>crm-operation-log.csv</x:v>
      </x:c>
      <x:c r="B7" s="25" t="str">
        <x:v>0b2e3597d24f98a696c58f77ebcc32d71d0053598f73689021421cd99d923250</x:v>
      </x:c>
      <x:c r="C7" s="25" t="str">
        <x:v>合成影子试点输入</x:v>
      </x:c>
      <x:c r="D7" s="25" t="str">
        <x:v>simulation_only</x:v>
      </x:c>
    </x:row>
    <x:row r="8"/>
    <x:row r="9"/>
    <x:row r="10" ht="15" hidden="0" customHeight="1">
      <x:c r="A10" s="17" t="str">
        <x:v>规则ID</x:v>
      </x:c>
      <x:c r="B10" s="33" t="str">
        <x:v>规则</x:v>
      </x:c>
      <x:c r="C10" s="33" t="str">
        <x:v>适用节点</x:v>
      </x:c>
      <x:c r="D10" s="33" t="str">
        <x:v>安全动作</x:v>
      </x:c>
      <x:c r="E10" s="33" t="str">
        <x:v>禁止动作</x:v>
      </x:c>
      <x:c r="F10" s="33" t="str">
        <x:v>版本</x:v>
      </x:c>
      <x:c r="G10" s="33" t="str">
        <x:v>证据等级</x:v>
      </x:c>
      <x:c r="H10" s="18" t="str">
        <x:v>负责人</x:v>
      </x:c>
    </x:row>
    <x:row r="11" ht="15" hidden="0" customHeight="1">
      <x:c r="A11" s="24" t="str">
        <x:v>RULE-001</x:v>
      </x:c>
      <x:c r="B11" s="24" t="str">
        <x:v>客户编号缺失</x:v>
      </x:c>
      <x:c r="C11" s="24" t="str">
        <x:v>输入预检</x:v>
      </x:c>
      <x:c r="D11" s="24" t="str">
        <x:v>转人工核对或退回</x:v>
      </x:c>
      <x:c r="E11" s="24" t="str">
        <x:v>名称模糊匹配自动写入</x:v>
      </x:c>
      <x:c r="F11" s="24" t="str">
        <x:v>shadow-rules-v1</x:v>
      </x:c>
      <x:c r="G11" s="24" t="str">
        <x:v>E5</x:v>
      </x:c>
      <x:c r="H11" s="24" t="str">
        <x:v>待真实企业确认</x:v>
      </x:c>
    </x:row>
    <x:row r="12" ht="15" hidden="0" customHeight="1">
      <x:c r="A12" s="25" t="str">
        <x:v>RULE-002</x:v>
      </x:c>
      <x:c r="B12" s="25" t="str">
        <x:v>客户名称重复</x:v>
      </x:c>
      <x:c r="C12" s="25" t="str">
        <x:v>主数据核对</x:v>
      </x:c>
      <x:c r="D12" s="25" t="str">
        <x:v>人工确认保留/合并结论</x:v>
      </x:c>
      <x:c r="E12" s="25" t="str">
        <x:v>自动选择或删除</x:v>
      </x:c>
      <x:c r="F12" s="25" t="str">
        <x:v>shadow-rules-v1</x:v>
      </x:c>
      <x:c r="G12" s="25" t="str">
        <x:v>E5</x:v>
      </x:c>
      <x:c r="H12" s="25" t="str">
        <x:v>待真实企业确认</x:v>
      </x:c>
    </x:row>
    <x:row r="13" ht="15" hidden="0" customHeight="1">
      <x:c r="A13" s="25" t="str">
        <x:v>RULE-003</x:v>
      </x:c>
      <x:c r="B13" s="25" t="str">
        <x:v>申报归属与CRM不一致</x:v>
      </x:c>
      <x:c r="C13" s="25" t="str">
        <x:v>归属核对</x:v>
      </x:c>
      <x:c r="D13" s="25" t="str">
        <x:v>暂停并补加签</x:v>
      </x:c>
      <x:c r="E13" s="25" t="str">
        <x:v>单方面修改</x:v>
      </x:c>
      <x:c r="F13" s="25" t="str">
        <x:v>shadow-rules-v1</x:v>
      </x:c>
      <x:c r="G13" s="25" t="str">
        <x:v>E5</x:v>
      </x:c>
      <x:c r="H13" s="25" t="str">
        <x:v>待真实企业确认</x:v>
      </x:c>
    </x:row>
    <x:row r="14" ht="15" hidden="0" customHeight="1">
      <x:c r="A14" s="25" t="str">
        <x:v>RULE-004</x:v>
      </x:c>
      <x:c r="B14" s="25" t="str">
        <x:v>客户锁定或权限不足</x:v>
      </x:c>
      <x:c r="C14" s="25" t="str">
        <x:v>执行</x:v>
      </x:c>
      <x:c r="D14" s="25" t="str">
        <x:v>交有权人员处理</x:v>
      </x:c>
      <x:c r="E14" s="25" t="str">
        <x:v>绕过权限</x:v>
      </x:c>
      <x:c r="F14" s="25" t="str">
        <x:v>shadow-rules-v1</x:v>
      </x:c>
      <x:c r="G14" s="25" t="str">
        <x:v>E5</x:v>
      </x:c>
      <x:c r="H14" s="25" t="str">
        <x:v>待真实企业确认</x:v>
      </x:c>
    </x:row>
    <x:row r="15" ht="15" hidden="0" customHeight="1">
      <x:c r="A15" s="25" t="str">
        <x:v>RULE-005</x:v>
      </x:c>
      <x:c r="B15" s="25" t="str">
        <x:v>有效版本唯一</x:v>
      </x:c>
      <x:c r="C15" s="25" t="str">
        <x:v>版本控制</x:v>
      </x:c>
      <x:c r="D15" s="25" t="str">
        <x:v>只使用明确有效版本</x:v>
      </x:c>
      <x:c r="E15" s="25" t="str">
        <x:v>凭记忆使用旧附件</x:v>
      </x:c>
      <x:c r="F15" s="25" t="str">
        <x:v>shadow-rules-v1</x:v>
      </x:c>
      <x:c r="G15" s="25" t="str">
        <x:v>E5</x:v>
      </x:c>
      <x:c r="H15" s="25" t="str">
        <x:v>待真实企业确认</x:v>
      </x:c>
    </x:row>
    <x:row r="16" ht="15" hidden="0" customHeight="1">
      <x:c r="A16" s="25" t="str">
        <x:v>RULE-006</x:v>
      </x:c>
      <x:c r="B16" s="25" t="str">
        <x:v>逐行状态必填</x:v>
      </x:c>
      <x:c r="C16" s="25" t="str">
        <x:v>结果回执</x:v>
      </x:c>
      <x:c r="D16" s="25" t="str">
        <x:v>成功/失败/阻断逐行记录</x:v>
      </x:c>
      <x:c r="E16" s="25" t="str">
        <x:v>笼统回复全部完成</x:v>
      </x:c>
      <x:c r="F16" s="25" t="str">
        <x:v>shadow-rules-v1</x:v>
      </x:c>
      <x:c r="G16" s="25" t="str">
        <x:v>E5</x:v>
      </x:c>
      <x:c r="H16" s="25" t="str">
        <x:v>待真实企业确认</x:v>
      </x:c>
    </x:row>
    <x:row r="17" ht="15" hidden="0" customHeight="1">
      <x:c r="A17" s="25" t="str">
        <x:v>RULE-007</x:v>
      </x:c>
      <x:c r="B17" s="25" t="str">
        <x:v>归属争议未结案</x:v>
      </x:c>
      <x:c r="C17" s="25" t="str">
        <x:v>异常处理</x:v>
      </x:c>
      <x:c r="D17" s="25" t="str">
        <x:v>冻结新增转让</x:v>
      </x:c>
      <x:c r="E17" s="25" t="str">
        <x:v>二次分配</x:v>
      </x:c>
      <x:c r="F17" s="25" t="str">
        <x:v>shadow-rules-v1</x:v>
      </x:c>
      <x:c r="G17" s="25" t="str">
        <x:v>E5</x:v>
      </x:c>
      <x:c r="H17" s="25" t="str">
        <x:v>待真实企业确认</x:v>
      </x:c>
    </x:row>
    <x:row r="18" ht="15" hidden="0" customHeight="1">
      <x:c r="A18" s="25" t="str">
        <x:v>RULE-008</x:v>
      </x:c>
      <x:c r="B18" s="25" t="str">
        <x:v>生产写入未授权</x:v>
      </x:c>
      <x:c r="C18" s="25" t="str">
        <x:v>全流程</x:v>
      </x:c>
      <x:c r="D18" s="25" t="str">
        <x:v>保持离线只读</x:v>
      </x:c>
      <x:c r="E18" s="25" t="str">
        <x:v>连接或写入生产系统</x:v>
      </x:c>
      <x:c r="F18" s="25" t="str">
        <x:v>shadow-rules-v1</x:v>
      </x:c>
      <x:c r="G18" s="25" t="str">
        <x:v>E5</x:v>
      </x:c>
      <x:c r="H18" s="25" t="str">
        <x:v>待真实企业确认</x:v>
      </x:c>
    </x:row>
    <x:row r="19"/>
    <x:row r="20" ht="15" hidden="0" customHeight="1">
      <x:c r="A20" s="17" t="str">
        <x:v>审计字段</x:v>
      </x:c>
      <x:c r="B20" s="33" t="str">
        <x:v>当前值</x:v>
      </x:c>
      <x:c r="C20" s="33" t="str">
        <x:v>是否可删除</x:v>
      </x:c>
      <x:c r="D20" s="18" t="str">
        <x:v>说明</x:v>
      </x:c>
    </x:row>
    <x:row r="21" ht="15" hidden="0" customHeight="1">
      <x:c r="A21" s="24" t="str">
        <x:v>试点ID</x:v>
      </x:c>
      <x:c r="B21" s="24" t="str">
        <x:v>SHADOW-SYN-CRM-001</x:v>
      </x:c>
      <x:c r="C21" s="24" t="str">
        <x:v>否</x:v>
      </x:c>
      <x:c r="D21" s="24" t="str">
        <x:v>本地合成测试唯一标识</x:v>
      </x:c>
    </x:row>
    <x:row r="22" ht="15" hidden="0" customHeight="1">
      <x:c r="A22" s="25" t="str">
        <x:v>规则版本</x:v>
      </x:c>
      <x:c r="B22" s="25" t="str">
        <x:v>shadow-rules-v1</x:v>
      </x:c>
      <x:c r="C22" s="25" t="str">
        <x:v>否</x:v>
      </x:c>
      <x:c r="D22" s="25" t="str">
        <x:v>规则变化必须生成新版本</x:v>
      </x:c>
    </x:row>
    <x:row r="23" ht="15" hidden="0" customHeight="1">
      <x:c r="A23" s="25" t="str">
        <x:v>生产读/写</x:v>
      </x:c>
      <x:c r="B23" s="25" t="str">
        <x:v>false / false</x:v>
      </x:c>
      <x:c r="C23" s="25" t="str">
        <x:v>否</x:v>
      </x:c>
      <x:c r="D23" s="25" t="str">
        <x:v>本轮没有生产连接</x:v>
      </x:c>
    </x:row>
    <x:row r="24" ht="24" hidden="0" customHeight="1">
      <x:c r="A24" s="25" t="str">
        <x:v>最终判断</x:v>
      </x:c>
      <x:c r="B24" s="25" t="str">
        <x:v>观察后继续</x:v>
      </x:c>
      <x:c r="C24" s="25" t="str">
        <x:v>否</x:v>
      </x:c>
      <x:c r="D24" s="25" t="str">
        <x:v>只进入最小真实证据准备，不进入生产开发</x:v>
      </x:c>
    </x:row>
  </x:sheetData>
  <x:mergeCells>
    <x:mergeCell ref="A1:H1"/>
    <x:mergeCell ref="A2:H2"/>
  </x:mergeCells>
  <x:pageMargins left="0.7" right="0.7" top="0.75" bottom="0.75" header="0.3" footer="0.3"/>
</x:worksheet>
</file>